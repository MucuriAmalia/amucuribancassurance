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4D1C537B-E38A-612A-F078-A93A15B4B7F4}"/>
  <workbookPr filterPrivacy="1" codeName="ThisWorkbook"/>
  <xr:revisionPtr revIDLastSave="14" documentId="13_ncr:1_{39A68D83-1112-40B8-B667-50AF0659CC7F}" xr6:coauthVersionLast="47" xr6:coauthVersionMax="47" xr10:uidLastSave="{D381FD70-13DF-40E3-8FC8-81545240FA25}"/>
  <bookViews>
    <workbookView minimized="1" xWindow="4356" yWindow="3852" windowWidth="17280" windowHeight="8832" firstSheet="1" activeTab="1" xr2:uid="{00000000-000D-0000-FFFF-FFFF00000000}"/>
  </bookViews>
  <sheets>
    <sheet name="Rates" sheetId="1" state="hidden" r:id="rId1"/>
    <sheet name="Quotation" sheetId="3" r:id="rId2"/>
  </sheets>
  <definedNames>
    <definedName name="ChildRates">Rates!$W$3:$AB$69</definedName>
    <definedName name="Children">Quotation!$D$15</definedName>
    <definedName name="DentalRates">Rates!$B$36:$G$37</definedName>
    <definedName name="MaternityRates">Rates!$B$33:$G$34</definedName>
    <definedName name="OutPatientRates">Rates!$AD$3:$AI$69</definedName>
    <definedName name="PrincipalAge">Quotation!$E$13</definedName>
    <definedName name="PrincipalRates">Rates!$I$3:$N$69</definedName>
    <definedName name="SpouseAge">Quotation!$E$14</definedName>
    <definedName name="SpouseRates">Rates!$P$3:$U$69</definedName>
    <definedName name="Spouses">Quotation!$D$14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3" l="1"/>
  <c r="E21" i="3"/>
  <c r="E19" i="3" l="1"/>
  <c r="F22" i="3" l="1"/>
  <c r="F21" i="3"/>
  <c r="E20" i="3"/>
  <c r="F20" i="3" s="1"/>
  <c r="E18" i="3"/>
  <c r="AF12" i="1" l="1"/>
  <c r="AG12" i="1"/>
  <c r="AH12" i="1"/>
  <c r="AI12" i="1"/>
  <c r="AF13" i="1"/>
  <c r="AG13" i="1"/>
  <c r="AH13" i="1"/>
  <c r="AI13" i="1"/>
  <c r="AF14" i="1"/>
  <c r="AG14" i="1"/>
  <c r="AH14" i="1"/>
  <c r="AI14" i="1"/>
  <c r="AF15" i="1"/>
  <c r="AG15" i="1"/>
  <c r="AH15" i="1"/>
  <c r="AI15" i="1"/>
  <c r="AF16" i="1"/>
  <c r="AG16" i="1"/>
  <c r="AH16" i="1"/>
  <c r="AI16" i="1"/>
  <c r="AF17" i="1"/>
  <c r="AG17" i="1"/>
  <c r="AH17" i="1"/>
  <c r="AI17" i="1"/>
  <c r="AF18" i="1"/>
  <c r="AG18" i="1"/>
  <c r="AH18" i="1"/>
  <c r="AI18" i="1"/>
  <c r="AF19" i="1"/>
  <c r="AG19" i="1"/>
  <c r="AH19" i="1"/>
  <c r="AI19" i="1"/>
  <c r="AF20" i="1"/>
  <c r="AG20" i="1"/>
  <c r="AH20" i="1"/>
  <c r="AI20" i="1"/>
  <c r="AF21" i="1"/>
  <c r="AG21" i="1"/>
  <c r="AH21" i="1"/>
  <c r="AI21" i="1"/>
  <c r="AF22" i="1"/>
  <c r="AG22" i="1"/>
  <c r="AH22" i="1"/>
  <c r="AI22" i="1"/>
  <c r="AF23" i="1"/>
  <c r="AG23" i="1"/>
  <c r="AH23" i="1"/>
  <c r="AI23" i="1"/>
  <c r="AF24" i="1"/>
  <c r="AG24" i="1"/>
  <c r="AH24" i="1"/>
  <c r="AI24" i="1"/>
  <c r="AF25" i="1"/>
  <c r="AG25" i="1"/>
  <c r="AH25" i="1"/>
  <c r="AI25" i="1"/>
  <c r="AF26" i="1"/>
  <c r="AG26" i="1"/>
  <c r="AH26" i="1"/>
  <c r="AI26" i="1"/>
  <c r="AF27" i="1"/>
  <c r="AG27" i="1"/>
  <c r="AH27" i="1"/>
  <c r="AI27" i="1"/>
  <c r="AF28" i="1"/>
  <c r="AG28" i="1"/>
  <c r="AH28" i="1"/>
  <c r="AI28" i="1"/>
  <c r="AF29" i="1"/>
  <c r="AG29" i="1"/>
  <c r="AH29" i="1"/>
  <c r="AI29" i="1"/>
  <c r="AF30" i="1"/>
  <c r="AG30" i="1"/>
  <c r="AH30" i="1"/>
  <c r="AI30" i="1"/>
  <c r="AF31" i="1"/>
  <c r="AG31" i="1"/>
  <c r="AH31" i="1"/>
  <c r="AI31" i="1"/>
  <c r="AF32" i="1"/>
  <c r="AG32" i="1"/>
  <c r="AH32" i="1"/>
  <c r="AI32" i="1"/>
  <c r="AF33" i="1"/>
  <c r="AG33" i="1"/>
  <c r="AH33" i="1"/>
  <c r="AI33" i="1"/>
  <c r="AF34" i="1"/>
  <c r="AG34" i="1"/>
  <c r="AH34" i="1"/>
  <c r="AI34" i="1"/>
  <c r="AF35" i="1"/>
  <c r="AG35" i="1"/>
  <c r="AH35" i="1"/>
  <c r="AI35" i="1"/>
  <c r="AF36" i="1"/>
  <c r="AG36" i="1"/>
  <c r="AH36" i="1"/>
  <c r="AI36" i="1"/>
  <c r="AF37" i="1"/>
  <c r="AG37" i="1"/>
  <c r="AH37" i="1"/>
  <c r="AI37" i="1"/>
  <c r="AF38" i="1"/>
  <c r="AG38" i="1"/>
  <c r="AH38" i="1"/>
  <c r="AI38" i="1"/>
  <c r="AF39" i="1"/>
  <c r="AG39" i="1"/>
  <c r="AH39" i="1"/>
  <c r="AI39" i="1"/>
  <c r="AF40" i="1"/>
  <c r="AG40" i="1"/>
  <c r="AH40" i="1"/>
  <c r="AI40" i="1"/>
  <c r="AF41" i="1"/>
  <c r="AG41" i="1"/>
  <c r="AH41" i="1"/>
  <c r="AI41" i="1"/>
  <c r="AF42" i="1"/>
  <c r="AG42" i="1"/>
  <c r="AH42" i="1"/>
  <c r="AI42" i="1"/>
  <c r="AF43" i="1"/>
  <c r="AG43" i="1"/>
  <c r="AH43" i="1"/>
  <c r="AI43" i="1"/>
  <c r="AF44" i="1"/>
  <c r="AG44" i="1"/>
  <c r="AH44" i="1"/>
  <c r="AI44" i="1"/>
  <c r="AF45" i="1"/>
  <c r="AG45" i="1"/>
  <c r="AH45" i="1"/>
  <c r="AI45" i="1"/>
  <c r="AF46" i="1"/>
  <c r="AG46" i="1"/>
  <c r="AH46" i="1"/>
  <c r="AI46" i="1"/>
  <c r="AF47" i="1"/>
  <c r="AG47" i="1"/>
  <c r="AH47" i="1"/>
  <c r="AI47" i="1"/>
  <c r="AF48" i="1"/>
  <c r="AG48" i="1"/>
  <c r="AH48" i="1"/>
  <c r="AI48" i="1"/>
  <c r="AF49" i="1"/>
  <c r="AG49" i="1"/>
  <c r="AH49" i="1"/>
  <c r="AI49" i="1"/>
  <c r="AF50" i="1"/>
  <c r="AG50" i="1"/>
  <c r="AH50" i="1"/>
  <c r="AI50" i="1"/>
  <c r="AF51" i="1"/>
  <c r="AG51" i="1"/>
  <c r="AH51" i="1"/>
  <c r="AI51" i="1"/>
  <c r="AF52" i="1"/>
  <c r="AG52" i="1"/>
  <c r="AH52" i="1"/>
  <c r="AI52" i="1"/>
  <c r="AF53" i="1"/>
  <c r="AG53" i="1"/>
  <c r="AH53" i="1"/>
  <c r="AI53" i="1"/>
  <c r="AF54" i="1"/>
  <c r="AG54" i="1"/>
  <c r="AH54" i="1"/>
  <c r="AI54" i="1"/>
  <c r="AF55" i="1"/>
  <c r="AG55" i="1"/>
  <c r="AH55" i="1"/>
  <c r="AI55" i="1"/>
  <c r="AF56" i="1"/>
  <c r="AG56" i="1"/>
  <c r="AH56" i="1"/>
  <c r="AI56" i="1"/>
  <c r="AF57" i="1"/>
  <c r="AG57" i="1"/>
  <c r="AH57" i="1"/>
  <c r="AI57" i="1"/>
  <c r="AF58" i="1"/>
  <c r="AG58" i="1"/>
  <c r="AH58" i="1"/>
  <c r="AI58" i="1"/>
  <c r="AF59" i="1"/>
  <c r="AG59" i="1"/>
  <c r="AH59" i="1"/>
  <c r="AI59" i="1"/>
  <c r="AF60" i="1"/>
  <c r="AG60" i="1"/>
  <c r="AH60" i="1"/>
  <c r="AI60" i="1"/>
  <c r="AF61" i="1"/>
  <c r="AG61" i="1"/>
  <c r="AH61" i="1"/>
  <c r="AI61" i="1"/>
  <c r="AF62" i="1"/>
  <c r="AG62" i="1"/>
  <c r="AH62" i="1"/>
  <c r="AI62" i="1"/>
  <c r="AF63" i="1"/>
  <c r="AG63" i="1"/>
  <c r="AH63" i="1"/>
  <c r="AI63" i="1"/>
  <c r="AF64" i="1"/>
  <c r="AG64" i="1"/>
  <c r="AH64" i="1"/>
  <c r="AI64" i="1"/>
  <c r="AF65" i="1"/>
  <c r="AG65" i="1"/>
  <c r="AH65" i="1"/>
  <c r="AI65" i="1"/>
  <c r="AF66" i="1"/>
  <c r="AG66" i="1"/>
  <c r="AH66" i="1"/>
  <c r="AI66" i="1"/>
  <c r="AF67" i="1"/>
  <c r="AG67" i="1"/>
  <c r="AH67" i="1"/>
  <c r="AI67" i="1"/>
  <c r="AF68" i="1"/>
  <c r="AG68" i="1"/>
  <c r="AH68" i="1"/>
  <c r="AI68" i="1"/>
  <c r="AF69" i="1"/>
  <c r="AG69" i="1"/>
  <c r="AH69" i="1"/>
  <c r="AI69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55" i="1"/>
  <c r="AE46" i="1"/>
  <c r="AE47" i="1"/>
  <c r="AE48" i="1"/>
  <c r="AE49" i="1"/>
  <c r="AE50" i="1"/>
  <c r="AE51" i="1"/>
  <c r="AE52" i="1"/>
  <c r="AE53" i="1"/>
  <c r="AE54" i="1"/>
  <c r="AE45" i="1"/>
  <c r="AE36" i="1"/>
  <c r="AE37" i="1"/>
  <c r="AE38" i="1"/>
  <c r="AE39" i="1"/>
  <c r="AE40" i="1"/>
  <c r="AE41" i="1"/>
  <c r="AE42" i="1"/>
  <c r="AE43" i="1"/>
  <c r="AE44" i="1"/>
  <c r="AE35" i="1"/>
  <c r="AE5" i="1"/>
  <c r="AF5" i="1"/>
  <c r="AG5" i="1"/>
  <c r="AH5" i="1"/>
  <c r="AI5" i="1"/>
  <c r="AE6" i="1"/>
  <c r="AF6" i="1"/>
  <c r="AG6" i="1"/>
  <c r="AH6" i="1"/>
  <c r="AI6" i="1"/>
  <c r="AE7" i="1"/>
  <c r="AF7" i="1"/>
  <c r="AG7" i="1"/>
  <c r="AH7" i="1"/>
  <c r="AI7" i="1"/>
  <c r="AE8" i="1"/>
  <c r="AF8" i="1"/>
  <c r="AG8" i="1"/>
  <c r="AH8" i="1"/>
  <c r="AI8" i="1"/>
  <c r="AE9" i="1"/>
  <c r="AF9" i="1"/>
  <c r="AG9" i="1"/>
  <c r="AH9" i="1"/>
  <c r="AI9" i="1"/>
  <c r="AE10" i="1"/>
  <c r="AF10" i="1"/>
  <c r="AG10" i="1"/>
  <c r="AH10" i="1"/>
  <c r="AI10" i="1"/>
  <c r="AE11" i="1"/>
  <c r="AF11" i="1"/>
  <c r="AG11" i="1"/>
  <c r="AH11" i="1"/>
  <c r="AI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F4" i="1"/>
  <c r="AG4" i="1"/>
  <c r="AH4" i="1"/>
  <c r="AI4" i="1"/>
  <c r="AE4" i="1"/>
  <c r="AD5" i="1"/>
  <c r="Y4" i="1"/>
  <c r="Z4" i="1"/>
  <c r="AA4" i="1"/>
  <c r="AB4" i="1"/>
  <c r="R23" i="1"/>
  <c r="S23" i="1"/>
  <c r="T23" i="1"/>
  <c r="U23" i="1"/>
  <c r="R24" i="1"/>
  <c r="S24" i="1"/>
  <c r="T24" i="1"/>
  <c r="U24" i="1"/>
  <c r="R25" i="1"/>
  <c r="S25" i="1"/>
  <c r="T25" i="1"/>
  <c r="U25" i="1"/>
  <c r="R26" i="1"/>
  <c r="S26" i="1"/>
  <c r="T26" i="1"/>
  <c r="U26" i="1"/>
  <c r="R27" i="1"/>
  <c r="S27" i="1"/>
  <c r="T27" i="1"/>
  <c r="U27" i="1"/>
  <c r="R28" i="1"/>
  <c r="S28" i="1"/>
  <c r="T28" i="1"/>
  <c r="U28" i="1"/>
  <c r="R29" i="1"/>
  <c r="S29" i="1"/>
  <c r="T29" i="1"/>
  <c r="U29" i="1"/>
  <c r="R30" i="1"/>
  <c r="S30" i="1"/>
  <c r="T30" i="1"/>
  <c r="U30" i="1"/>
  <c r="R31" i="1"/>
  <c r="S31" i="1"/>
  <c r="T31" i="1"/>
  <c r="U31" i="1"/>
  <c r="R32" i="1"/>
  <c r="S32" i="1"/>
  <c r="T32" i="1"/>
  <c r="U32" i="1"/>
  <c r="R33" i="1"/>
  <c r="S33" i="1"/>
  <c r="T33" i="1"/>
  <c r="U33" i="1"/>
  <c r="R34" i="1"/>
  <c r="S34" i="1"/>
  <c r="T34" i="1"/>
  <c r="U34" i="1"/>
  <c r="R35" i="1"/>
  <c r="S35" i="1"/>
  <c r="T35" i="1"/>
  <c r="U35" i="1"/>
  <c r="R36" i="1"/>
  <c r="S36" i="1"/>
  <c r="T36" i="1"/>
  <c r="U36" i="1"/>
  <c r="R37" i="1"/>
  <c r="S37" i="1"/>
  <c r="T37" i="1"/>
  <c r="U37" i="1"/>
  <c r="R38" i="1"/>
  <c r="S38" i="1"/>
  <c r="T38" i="1"/>
  <c r="U38" i="1"/>
  <c r="R39" i="1"/>
  <c r="S39" i="1"/>
  <c r="T39" i="1"/>
  <c r="U39" i="1"/>
  <c r="R40" i="1"/>
  <c r="S40" i="1"/>
  <c r="T40" i="1"/>
  <c r="U40" i="1"/>
  <c r="R41" i="1"/>
  <c r="S41" i="1"/>
  <c r="T41" i="1"/>
  <c r="U41" i="1"/>
  <c r="R42" i="1"/>
  <c r="S42" i="1"/>
  <c r="T42" i="1"/>
  <c r="U42" i="1"/>
  <c r="R43" i="1"/>
  <c r="S43" i="1"/>
  <c r="T43" i="1"/>
  <c r="U43" i="1"/>
  <c r="R44" i="1"/>
  <c r="S44" i="1"/>
  <c r="T44" i="1"/>
  <c r="U44" i="1"/>
  <c r="R45" i="1"/>
  <c r="S45" i="1"/>
  <c r="T45" i="1"/>
  <c r="U45" i="1"/>
  <c r="R46" i="1"/>
  <c r="S46" i="1"/>
  <c r="T46" i="1"/>
  <c r="U46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K34" i="1"/>
  <c r="L34" i="1"/>
  <c r="M34" i="1"/>
  <c r="N34" i="1"/>
  <c r="K35" i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L62" i="1"/>
  <c r="M62" i="1"/>
  <c r="N62" i="1"/>
  <c r="K63" i="1"/>
  <c r="L63" i="1"/>
  <c r="M63" i="1"/>
  <c r="N63" i="1"/>
  <c r="K64" i="1"/>
  <c r="L64" i="1"/>
  <c r="M64" i="1"/>
  <c r="N64" i="1"/>
  <c r="K65" i="1"/>
  <c r="L65" i="1"/>
  <c r="M65" i="1"/>
  <c r="N65" i="1"/>
  <c r="K66" i="1"/>
  <c r="L66" i="1"/>
  <c r="M66" i="1"/>
  <c r="N66" i="1"/>
  <c r="K67" i="1"/>
  <c r="L67" i="1"/>
  <c r="M67" i="1"/>
  <c r="N67" i="1"/>
  <c r="K68" i="1"/>
  <c r="L68" i="1"/>
  <c r="M68" i="1"/>
  <c r="N68" i="1"/>
  <c r="K69" i="1"/>
  <c r="L69" i="1"/>
  <c r="M69" i="1"/>
  <c r="N69" i="1"/>
  <c r="AD6" i="1" l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F19" i="3"/>
  <c r="X4" i="1"/>
  <c r="Q56" i="1" l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55" i="1"/>
  <c r="Q46" i="1"/>
  <c r="Q47" i="1"/>
  <c r="Q48" i="1"/>
  <c r="Q49" i="1"/>
  <c r="Q50" i="1"/>
  <c r="Q51" i="1"/>
  <c r="Q52" i="1"/>
  <c r="Q53" i="1"/>
  <c r="Q54" i="1"/>
  <c r="Q45" i="1"/>
  <c r="Q36" i="1"/>
  <c r="Q37" i="1"/>
  <c r="Q38" i="1"/>
  <c r="Q39" i="1"/>
  <c r="Q40" i="1"/>
  <c r="Q41" i="1"/>
  <c r="Q42" i="1"/>
  <c r="Q43" i="1"/>
  <c r="Q44" i="1"/>
  <c r="Q35" i="1"/>
  <c r="Q24" i="1"/>
  <c r="Q25" i="1"/>
  <c r="Q26" i="1"/>
  <c r="Q27" i="1"/>
  <c r="Q28" i="1"/>
  <c r="Q29" i="1"/>
  <c r="Q30" i="1"/>
  <c r="Q31" i="1"/>
  <c r="Q32" i="1"/>
  <c r="Q33" i="1"/>
  <c r="Q34" i="1"/>
  <c r="Q23" i="1"/>
  <c r="P5" i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55" i="1"/>
  <c r="J46" i="1"/>
  <c r="J47" i="1"/>
  <c r="J48" i="1"/>
  <c r="J49" i="1"/>
  <c r="J50" i="1"/>
  <c r="J51" i="1"/>
  <c r="J52" i="1"/>
  <c r="J53" i="1"/>
  <c r="J54" i="1"/>
  <c r="J45" i="1"/>
  <c r="J36" i="1"/>
  <c r="J37" i="1"/>
  <c r="J38" i="1"/>
  <c r="J39" i="1"/>
  <c r="J40" i="1"/>
  <c r="J41" i="1"/>
  <c r="J42" i="1"/>
  <c r="J43" i="1"/>
  <c r="J44" i="1"/>
  <c r="J35" i="1"/>
  <c r="J28" i="1"/>
  <c r="J29" i="1"/>
  <c r="J30" i="1"/>
  <c r="J31" i="1"/>
  <c r="J32" i="1"/>
  <c r="J33" i="1"/>
  <c r="J34" i="1"/>
  <c r="J24" i="1"/>
  <c r="J25" i="1"/>
  <c r="J26" i="1"/>
  <c r="J27" i="1"/>
  <c r="J23" i="1"/>
  <c r="I5" i="1"/>
  <c r="I6" i="1" l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F18" i="3" l="1"/>
  <c r="F25" i="3" l="1"/>
</calcChain>
</file>

<file path=xl/sharedStrings.xml><?xml version="1.0" encoding="utf-8"?>
<sst xmlns="http://schemas.openxmlformats.org/spreadsheetml/2006/main" count="105" uniqueCount="60">
  <si>
    <t>FIRST MED</t>
  </si>
  <si>
    <t xml:space="preserve"> Option 5 </t>
  </si>
  <si>
    <t xml:space="preserve"> Option 4 </t>
  </si>
  <si>
    <t xml:space="preserve"> Option 3 </t>
  </si>
  <si>
    <t xml:space="preserve"> Option 2 </t>
  </si>
  <si>
    <t xml:space="preserve"> Option 1 </t>
  </si>
  <si>
    <t>Inpatient per Family</t>
  </si>
  <si>
    <t>Age 19-30</t>
  </si>
  <si>
    <t>Principal</t>
  </si>
  <si>
    <t>Spouse</t>
  </si>
  <si>
    <t>Child</t>
  </si>
  <si>
    <t>Age 31-40</t>
  </si>
  <si>
    <t>Age 41-50</t>
  </si>
  <si>
    <t>Age 51-65</t>
  </si>
  <si>
    <t>Outpatient Per Person</t>
  </si>
  <si>
    <t>Premium</t>
  </si>
  <si>
    <t>below 30yrs</t>
  </si>
  <si>
    <t>31-40yrs</t>
  </si>
  <si>
    <t>41-50yrs</t>
  </si>
  <si>
    <t>51-65yrs</t>
  </si>
  <si>
    <t>Maternity Per Family</t>
  </si>
  <si>
    <t>Dental Per Person</t>
  </si>
  <si>
    <t>Optical Per Person</t>
  </si>
  <si>
    <t>Card Charge is 1102 per person</t>
  </si>
  <si>
    <t>Stamp duty 40</t>
  </si>
  <si>
    <t>Option 1</t>
  </si>
  <si>
    <t>Option 2</t>
  </si>
  <si>
    <t>Dental</t>
  </si>
  <si>
    <t>Optical</t>
  </si>
  <si>
    <t>We are pleased to invite you to take a medical cover with us.</t>
  </si>
  <si>
    <r>
      <t>Below please find the premium payable</t>
    </r>
    <r>
      <rPr>
        <b/>
        <i/>
        <sz val="11"/>
        <color theme="1"/>
        <rFont val="Times New Roman"/>
        <family val="1"/>
      </rPr>
      <t>.</t>
    </r>
  </si>
  <si>
    <t>Age</t>
  </si>
  <si>
    <t>Member</t>
  </si>
  <si>
    <t>Principal Member</t>
  </si>
  <si>
    <t>No.</t>
  </si>
  <si>
    <t>Children</t>
  </si>
  <si>
    <t>Benefit Shedule</t>
  </si>
  <si>
    <t>Limit</t>
  </si>
  <si>
    <t>Inpatient</t>
  </si>
  <si>
    <t>Outpatient</t>
  </si>
  <si>
    <t>Maternity</t>
  </si>
  <si>
    <t>NO</t>
  </si>
  <si>
    <t>YES</t>
  </si>
  <si>
    <t>Stamp Duty</t>
  </si>
  <si>
    <t>Total Premium Payable</t>
  </si>
  <si>
    <t>OutPatient Rates</t>
  </si>
  <si>
    <t>Option</t>
  </si>
  <si>
    <t>To Become A Member:</t>
  </si>
  <si>
    <t>2. Attach Recent Passport Size Photo For All Members</t>
  </si>
  <si>
    <t>including NHIF rebates on Inpatient and Outpatient services.</t>
  </si>
  <si>
    <t>Email: medical@firstassurance.co.ke</t>
  </si>
  <si>
    <r>
      <t xml:space="preserve">First assurance shall </t>
    </r>
    <r>
      <rPr>
        <b/>
        <u/>
        <sz val="11"/>
        <color theme="1"/>
        <rFont val="Times New Roman"/>
        <family val="1"/>
      </rPr>
      <t>NOT</t>
    </r>
    <r>
      <rPr>
        <sz val="11"/>
        <color theme="1"/>
        <rFont val="Times New Roman"/>
        <family val="1"/>
      </rPr>
      <t xml:space="preserve"> undertake any expenses recoverable under any other insurance </t>
    </r>
  </si>
  <si>
    <r>
      <t xml:space="preserve">For </t>
    </r>
    <r>
      <rPr>
        <b/>
        <sz val="11"/>
        <color theme="1"/>
        <rFont val="Times New Roman"/>
        <family val="1"/>
      </rPr>
      <t>Hospital and surgery pre-authorisation</t>
    </r>
    <r>
      <rPr>
        <sz val="11"/>
        <color theme="1"/>
        <rFont val="Times New Roman"/>
        <family val="1"/>
      </rPr>
      <t xml:space="preserve">, call </t>
    </r>
    <r>
      <rPr>
        <u/>
        <sz val="11"/>
        <color theme="1"/>
        <rFont val="Times New Roman"/>
        <family val="1"/>
      </rPr>
      <t>+254 709 122 000</t>
    </r>
    <r>
      <rPr>
        <sz val="11"/>
        <color theme="1"/>
        <rFont val="Times New Roman"/>
        <family val="1"/>
      </rPr>
      <t xml:space="preserve"> or </t>
    </r>
  </si>
  <si>
    <t>Benefit</t>
  </si>
  <si>
    <t>Select Member Details in the grey cells</t>
  </si>
  <si>
    <t>3. Attach ID Copy (Principal &amp; Spouse), Birth Certificate (All Children)</t>
  </si>
  <si>
    <t>4. Children above 18 years to attach proof of schooling</t>
  </si>
  <si>
    <t xml:space="preserve">The maximum age of cover is 65 years </t>
  </si>
  <si>
    <t>1. Fill a Proposal form to be provided</t>
  </si>
  <si>
    <r>
      <t xml:space="preserve">First Assurance shall </t>
    </r>
    <r>
      <rPr>
        <b/>
        <u/>
        <sz val="11"/>
        <color rgb="FF000000"/>
        <rFont val="Times New Roman"/>
        <family val="1"/>
      </rPr>
      <t>NOT</t>
    </r>
    <r>
      <rPr>
        <sz val="11"/>
        <color rgb="FF000000"/>
        <rFont val="Times New Roman"/>
        <family val="1"/>
      </rPr>
      <t xml:space="preserve"> accept any reimbursements. Kindly visit our large panel of providers.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</si>
</sst>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&quot;Ksh&quot;* #,##0_-;\-&quot;Ksh&quot;* #,##0_-;_-&quot;Ksh&quot;* &quot;-&quot;??_-;_-@_-"/>
    <numFmt numFmtId="166" formatCode="_-* #,##0_-;\-* #,##0_-;_-* &quot;-&quot;??_-;_-@_-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ndara"/>
      <family val="2"/>
    </font>
    <font>
      <sz val="10"/>
      <color rgb="FF000000"/>
      <name val="Candara"/>
      <family val="2"/>
    </font>
    <font>
      <b/>
      <sz val="10"/>
      <color rgb="FFFFFFFF"/>
      <name val="Candara"/>
      <family val="2"/>
    </font>
    <font>
      <sz val="10"/>
      <color theme="1"/>
      <name val="Candara "/>
    </font>
    <font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u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u/>
      <sz val="11"/>
      <color theme="10"/>
      <name val="Times New Roman"/>
      <family val="1"/>
    </font>
    <font>
      <sz val="11"/>
      <color theme="0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A9D06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3" fontId="5" fillId="3" borderId="1" xfId="0" applyNumberFormat="1" applyFont="1" applyFill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3" fontId="4" fillId="0" borderId="1" xfId="0" applyNumberFormat="1" applyFont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right" vertical="center"/>
    </xf>
    <xf numFmtId="0" fontId="5" fillId="2" borderId="6" xfId="0" applyFont="1" applyFill="1" applyBorder="1" applyAlignment="1">
      <alignment vertical="center"/>
    </xf>
    <xf numFmtId="3" fontId="5" fillId="2" borderId="7" xfId="0" applyNumberFormat="1" applyFont="1" applyFill="1" applyBorder="1" applyAlignment="1">
      <alignment horizontal="right" vertical="center"/>
    </xf>
    <xf numFmtId="0" fontId="4" fillId="0" borderId="6" xfId="0" applyFont="1" applyBorder="1" applyAlignment="1">
      <alignment vertical="center"/>
    </xf>
    <xf numFmtId="3" fontId="4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3" fontId="4" fillId="0" borderId="9" xfId="0" applyNumberFormat="1" applyFont="1" applyBorder="1" applyAlignment="1">
      <alignment horizontal="right" vertical="center"/>
    </xf>
    <xf numFmtId="3" fontId="0" fillId="0" borderId="0" xfId="0" applyNumberFormat="1"/>
    <xf numFmtId="0" fontId="0" fillId="0" borderId="1" xfId="0" applyBorder="1"/>
    <xf numFmtId="3" fontId="0" fillId="0" borderId="1" xfId="0" applyNumberFormat="1" applyBorder="1"/>
    <xf numFmtId="0" fontId="7" fillId="0" borderId="34" xfId="0" applyFont="1" applyBorder="1" applyAlignment="1">
      <alignment horizontal="left" vertical="center"/>
    </xf>
    <xf numFmtId="0" fontId="7" fillId="0" borderId="0" xfId="0" applyFont="1"/>
    <xf numFmtId="166" fontId="7" fillId="0" borderId="0" xfId="2" applyNumberFormat="1" applyFont="1"/>
    <xf numFmtId="165" fontId="7" fillId="0" borderId="0" xfId="0" applyNumberFormat="1" applyFont="1"/>
    <xf numFmtId="0" fontId="7" fillId="0" borderId="1" xfId="0" applyFont="1" applyBorder="1"/>
    <xf numFmtId="0" fontId="11" fillId="0" borderId="5" xfId="0" applyFont="1" applyBorder="1"/>
    <xf numFmtId="0" fontId="15" fillId="0" borderId="1" xfId="0" applyFont="1" applyBorder="1" applyAlignment="1">
      <alignment vertical="center"/>
    </xf>
    <xf numFmtId="0" fontId="15" fillId="0" borderId="18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3" fontId="16" fillId="0" borderId="1" xfId="0" applyNumberFormat="1" applyFont="1" applyBorder="1" applyAlignment="1">
      <alignment horizontal="right" vertical="center"/>
    </xf>
    <xf numFmtId="3" fontId="16" fillId="0" borderId="18" xfId="0" applyNumberFormat="1" applyFont="1" applyBorder="1" applyAlignment="1">
      <alignment horizontal="right" vertical="center"/>
    </xf>
    <xf numFmtId="166" fontId="7" fillId="0" borderId="13" xfId="2" applyNumberFormat="1" applyFont="1" applyFill="1" applyBorder="1"/>
    <xf numFmtId="166" fontId="7" fillId="0" borderId="0" xfId="2" applyNumberFormat="1" applyFont="1" applyBorder="1"/>
    <xf numFmtId="166" fontId="7" fillId="0" borderId="1" xfId="2" applyNumberFormat="1" applyFont="1" applyBorder="1"/>
    <xf numFmtId="165" fontId="7" fillId="0" borderId="18" xfId="0" applyNumberFormat="1" applyFont="1" applyBorder="1"/>
    <xf numFmtId="0" fontId="16" fillId="0" borderId="19" xfId="0" applyFont="1" applyBorder="1" applyAlignment="1">
      <alignment vertical="center"/>
    </xf>
    <xf numFmtId="3" fontId="16" fillId="0" borderId="20" xfId="0" applyNumberFormat="1" applyFont="1" applyBorder="1" applyAlignment="1">
      <alignment horizontal="right" vertical="center"/>
    </xf>
    <xf numFmtId="3" fontId="16" fillId="0" borderId="21" xfId="0" applyNumberFormat="1" applyFont="1" applyBorder="1" applyAlignment="1">
      <alignment horizontal="right" vertical="center"/>
    </xf>
    <xf numFmtId="0" fontId="17" fillId="0" borderId="13" xfId="0" applyFont="1" applyBorder="1" applyAlignment="1">
      <alignment vertical="center"/>
    </xf>
    <xf numFmtId="0" fontId="7" fillId="0" borderId="14" xfId="0" applyFont="1" applyBorder="1"/>
    <xf numFmtId="0" fontId="7" fillId="0" borderId="12" xfId="0" applyFont="1" applyBorder="1"/>
    <xf numFmtId="0" fontId="7" fillId="0" borderId="10" xfId="0" applyFont="1" applyBorder="1"/>
    <xf numFmtId="166" fontId="7" fillId="0" borderId="20" xfId="2" applyNumberFormat="1" applyFont="1" applyBorder="1"/>
    <xf numFmtId="165" fontId="7" fillId="0" borderId="29" xfId="0" applyNumberFormat="1" applyFont="1" applyBorder="1"/>
    <xf numFmtId="0" fontId="16" fillId="0" borderId="35" xfId="0" applyFont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7" fillId="0" borderId="9" xfId="0" applyFont="1" applyBorder="1" applyAlignment="1">
      <alignment horizontal="left"/>
    </xf>
    <xf numFmtId="165" fontId="7" fillId="0" borderId="17" xfId="0" applyNumberFormat="1" applyFont="1" applyBorder="1"/>
    <xf numFmtId="0" fontId="16" fillId="0" borderId="10" xfId="0" applyFont="1" applyBorder="1" applyAlignment="1">
      <alignment horizontal="left" vertical="center"/>
    </xf>
    <xf numFmtId="0" fontId="7" fillId="0" borderId="11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9" fillId="0" borderId="32" xfId="0" applyFont="1" applyBorder="1" applyAlignment="1">
      <alignment horizontal="left" vertical="center"/>
    </xf>
    <xf numFmtId="0" fontId="7" fillId="0" borderId="33" xfId="0" applyFont="1" applyBorder="1" applyAlignment="1">
      <alignment horizontal="left"/>
    </xf>
    <xf numFmtId="0" fontId="18" fillId="0" borderId="34" xfId="3" applyFont="1" applyBorder="1" applyAlignment="1">
      <alignment horizontal="left" vertical="center"/>
    </xf>
    <xf numFmtId="0" fontId="11" fillId="0" borderId="34" xfId="0" applyFont="1" applyBorder="1" applyAlignment="1">
      <alignment horizontal="left" vertical="center"/>
    </xf>
    <xf numFmtId="165" fontId="11" fillId="4" borderId="21" xfId="0" applyNumberFormat="1" applyFont="1" applyFill="1" applyBorder="1"/>
    <xf numFmtId="0" fontId="7" fillId="0" borderId="13" xfId="0" applyFont="1" applyBorder="1"/>
    <xf numFmtId="166" fontId="7" fillId="0" borderId="14" xfId="2" applyNumberFormat="1" applyFont="1" applyBorder="1"/>
    <xf numFmtId="165" fontId="7" fillId="0" borderId="14" xfId="0" applyNumberFormat="1" applyFont="1" applyBorder="1"/>
    <xf numFmtId="0" fontId="7" fillId="0" borderId="35" xfId="0" applyFont="1" applyBorder="1"/>
    <xf numFmtId="0" fontId="7" fillId="0" borderId="9" xfId="0" applyFont="1" applyBorder="1"/>
    <xf numFmtId="0" fontId="7" fillId="0" borderId="36" xfId="0" applyFont="1" applyBorder="1" applyAlignment="1">
      <alignment horizontal="left"/>
    </xf>
    <xf numFmtId="0" fontId="7" fillId="0" borderId="11" xfId="0" applyFont="1" applyBorder="1"/>
    <xf numFmtId="166" fontId="7" fillId="0" borderId="11" xfId="2" applyNumberFormat="1" applyFont="1" applyBorder="1"/>
    <xf numFmtId="165" fontId="7" fillId="0" borderId="11" xfId="0" applyNumberFormat="1" applyFont="1" applyBorder="1"/>
    <xf numFmtId="0" fontId="7" fillId="0" borderId="37" xfId="0" applyFont="1" applyBorder="1" applyAlignment="1">
      <alignment horizontal="left"/>
    </xf>
    <xf numFmtId="0" fontId="19" fillId="0" borderId="0" xfId="0" applyFont="1"/>
    <xf numFmtId="0" fontId="7" fillId="5" borderId="1" xfId="0" applyFont="1" applyFill="1" applyBorder="1" applyProtection="1">
      <protection locked="0"/>
    </xf>
    <xf numFmtId="0" fontId="7" fillId="5" borderId="30" xfId="0" applyFont="1" applyFill="1" applyBorder="1" applyProtection="1">
      <protection locked="0"/>
    </xf>
    <xf numFmtId="166" fontId="7" fillId="5" borderId="18" xfId="2" applyNumberFormat="1" applyFont="1" applyFill="1" applyBorder="1" applyProtection="1">
      <protection locked="0"/>
    </xf>
    <xf numFmtId="166" fontId="7" fillId="5" borderId="31" xfId="2" applyNumberFormat="1" applyFont="1" applyFill="1" applyBorder="1" applyProtection="1">
      <protection locked="0"/>
    </xf>
    <xf numFmtId="0" fontId="11" fillId="5" borderId="1" xfId="0" applyFont="1" applyFill="1" applyBorder="1" applyAlignment="1" applyProtection="1">
      <alignment vertical="center"/>
      <protection locked="0"/>
    </xf>
    <xf numFmtId="0" fontId="11" fillId="5" borderId="20" xfId="0" applyFont="1" applyFill="1" applyBorder="1" applyAlignment="1" applyProtection="1">
      <alignment vertical="center"/>
      <protection locked="0"/>
    </xf>
    <xf numFmtId="0" fontId="7" fillId="0" borderId="4" xfId="0" applyFont="1" applyBorder="1"/>
    <xf numFmtId="0" fontId="7" fillId="0" borderId="27" xfId="0" applyFont="1" applyBorder="1"/>
    <xf numFmtId="0" fontId="11" fillId="6" borderId="24" xfId="0" applyFont="1" applyFill="1" applyBorder="1"/>
    <xf numFmtId="0" fontId="11" fillId="6" borderId="16" xfId="0" applyFont="1" applyFill="1" applyBorder="1"/>
    <xf numFmtId="166" fontId="11" fillId="6" borderId="17" xfId="2" applyNumberFormat="1" applyFont="1" applyFill="1" applyBorder="1"/>
    <xf numFmtId="0" fontId="11" fillId="6" borderId="4" xfId="0" applyFont="1" applyFill="1" applyBorder="1"/>
    <xf numFmtId="0" fontId="11" fillId="6" borderId="1" xfId="0" applyFont="1" applyFill="1" applyBorder="1" applyAlignment="1">
      <alignment vertical="center"/>
    </xf>
    <xf numFmtId="166" fontId="11" fillId="6" borderId="1" xfId="2" applyNumberFormat="1" applyFont="1" applyFill="1" applyBorder="1"/>
    <xf numFmtId="165" fontId="11" fillId="6" borderId="1" xfId="0" applyNumberFormat="1" applyFont="1" applyFill="1" applyBorder="1"/>
    <xf numFmtId="0" fontId="2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6" fillId="0" borderId="35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7" fillId="0" borderId="38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center"/>
    </xf>
    <xf numFmtId="0" fontId="11" fillId="6" borderId="15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0" fontId="11" fillId="6" borderId="17" xfId="0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24" xfId="0" applyFont="1" applyBorder="1" applyAlignment="1">
      <alignment horizontal="center"/>
    </xf>
  </cellXfs>
  <cellStyles count="4">
    <cellStyle name="Comma" xfId="2" builtinId="3"/>
    <cellStyle name="Comma 2" xfId="1" xr:uid="{00000000-0005-0000-0000-00002F000000}"/>
    <cellStyle name="Hyperlink" xfId="3" builtinId="8"/>
    <cellStyle name="Normal" xfId="0" builtinId="0"/>
  </cellStyles>
  <dxfs count="1">
    <dxf>
      <font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A9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563880</xdr:colOff>
      <xdr:row>1</xdr:row>
      <xdr:rowOff>160020</xdr:rowOff>
    </xdr:from>
    <xdr:to>
      <xdr:col>10</xdr:col>
      <xdr:colOff>261196</xdr:colOff>
      <xdr:row>6</xdr:row>
      <xdr:rowOff>144780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120" b="34720"/>
        <a:stretch/>
      </xdr:blipFill>
      <xdr:spPr>
        <a:xfrm>
          <a:off x="4990407" y="340129"/>
          <a:ext cx="3905250" cy="8506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1</xdr:row>
          <xdr:rowOff>68580</xdr:rowOff>
        </xdr:from>
        <xdr:to>
          <xdr:col>19</xdr:col>
          <xdr:colOff>403860</xdr:colOff>
          <xdr:row>4</xdr:row>
          <xdr:rowOff>83820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dical@firstassurance.co.k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I69"/>
  <sheetViews>
    <sheetView showGridLines="0" topLeftCell="A10" workbookViewId="0">
      <selection activeCell="G28" sqref="G28:G29"/>
    </sheetView>
  </sheetViews>
  <sheetFormatPr defaultColWidth="8.6640625" defaultRowHeight="14.4"/>
  <cols>
    <col min="2" max="2" width="19.33203125" bestFit="1" customWidth="1"/>
    <col min="3" max="3" width="8.88671875" bestFit="1" customWidth="1"/>
    <col min="4" max="4" width="9" bestFit="1" customWidth="1"/>
    <col min="5" max="6" width="8.88671875" bestFit="1" customWidth="1"/>
  </cols>
  <sheetData>
    <row r="2" spans="2:35">
      <c r="B2" s="81" t="s">
        <v>0</v>
      </c>
      <c r="C2" s="81"/>
      <c r="D2" s="81"/>
      <c r="E2" s="81"/>
      <c r="F2" s="81"/>
      <c r="G2" s="81"/>
      <c r="I2" s="80" t="s">
        <v>8</v>
      </c>
      <c r="J2" s="80"/>
      <c r="K2" s="80"/>
      <c r="L2" s="80"/>
      <c r="M2" s="80"/>
      <c r="N2" s="80"/>
      <c r="P2" s="80" t="s">
        <v>9</v>
      </c>
      <c r="Q2" s="80"/>
      <c r="R2" s="80"/>
      <c r="S2" s="80"/>
      <c r="T2" s="80"/>
      <c r="U2" s="80"/>
      <c r="W2" s="80" t="s">
        <v>10</v>
      </c>
      <c r="X2" s="80"/>
      <c r="Y2" s="80"/>
      <c r="Z2" s="80"/>
      <c r="AA2" s="80"/>
      <c r="AB2" s="80"/>
      <c r="AD2" s="80" t="s">
        <v>45</v>
      </c>
      <c r="AE2" s="80"/>
      <c r="AF2" s="80"/>
      <c r="AG2" s="80"/>
      <c r="AH2" s="80"/>
      <c r="AI2" s="80"/>
    </row>
    <row r="3" spans="2:35">
      <c r="B3" s="1"/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I3" s="2" t="s">
        <v>31</v>
      </c>
      <c r="J3" s="4">
        <v>5000000</v>
      </c>
      <c r="K3" s="4">
        <v>3000000</v>
      </c>
      <c r="L3" s="4">
        <v>2000000</v>
      </c>
      <c r="M3" s="4">
        <v>1000000</v>
      </c>
      <c r="N3" s="4">
        <v>500000</v>
      </c>
      <c r="P3" s="2" t="s">
        <v>31</v>
      </c>
      <c r="Q3" s="4">
        <v>5000000</v>
      </c>
      <c r="R3" s="4">
        <v>3000000</v>
      </c>
      <c r="S3" s="4">
        <v>2000000</v>
      </c>
      <c r="T3" s="4">
        <v>1000000</v>
      </c>
      <c r="U3" s="4">
        <v>500000</v>
      </c>
      <c r="W3" s="2" t="s">
        <v>31</v>
      </c>
      <c r="X3" s="4">
        <v>5000000</v>
      </c>
      <c r="Y3" s="4">
        <v>3000000</v>
      </c>
      <c r="Z3" s="4">
        <v>2000000</v>
      </c>
      <c r="AA3" s="4">
        <v>1000000</v>
      </c>
      <c r="AB3" s="4">
        <v>500000</v>
      </c>
      <c r="AD3" s="2" t="s">
        <v>31</v>
      </c>
      <c r="AE3" s="4">
        <v>5000000</v>
      </c>
      <c r="AF3" s="4">
        <v>3000000</v>
      </c>
      <c r="AG3" s="4">
        <v>2000000</v>
      </c>
      <c r="AH3" s="4">
        <v>1000000</v>
      </c>
      <c r="AI3" s="4">
        <v>500000</v>
      </c>
    </row>
    <row r="4" spans="2:35">
      <c r="B4" s="2" t="s">
        <v>6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I4" s="16">
        <v>0</v>
      </c>
      <c r="J4" s="16"/>
      <c r="K4" s="16"/>
      <c r="L4" s="16"/>
      <c r="M4" s="16"/>
      <c r="N4" s="16"/>
      <c r="P4" s="16">
        <v>0</v>
      </c>
      <c r="Q4" s="16"/>
      <c r="R4" s="16"/>
      <c r="S4" s="16"/>
      <c r="T4" s="16"/>
      <c r="U4" s="16"/>
      <c r="W4" s="16">
        <v>0</v>
      </c>
      <c r="X4" s="17">
        <f t="shared" ref="X4" si="0">C$8</f>
        <v>21108</v>
      </c>
      <c r="Y4" s="17">
        <f t="shared" ref="Y4" si="1">D$8</f>
        <v>19175</v>
      </c>
      <c r="Z4" s="17">
        <f t="shared" ref="Z4" si="2">E$8</f>
        <v>17093</v>
      </c>
      <c r="AA4" s="17">
        <f t="shared" ref="AA4" si="3">F$8</f>
        <v>13886</v>
      </c>
      <c r="AB4" s="17">
        <f t="shared" ref="AB4" si="4">G$8</f>
        <v>11021</v>
      </c>
      <c r="AD4" s="16">
        <v>0</v>
      </c>
      <c r="AE4" s="17">
        <f t="shared" ref="AE4" si="5">C$28</f>
        <v>38955</v>
      </c>
      <c r="AF4" s="17">
        <f t="shared" ref="AF4" si="6">D$28</f>
        <v>36329</v>
      </c>
      <c r="AG4" s="17">
        <f t="shared" ref="AG4" si="7">E$28</f>
        <v>29149</v>
      </c>
      <c r="AH4" s="17">
        <f t="shared" ref="AH4" si="8">F$28</f>
        <v>26803</v>
      </c>
      <c r="AI4" s="17">
        <f t="shared" ref="AI4" si="9">G$28</f>
        <v>22701</v>
      </c>
    </row>
    <row r="5" spans="2:35">
      <c r="B5" s="3" t="s">
        <v>7</v>
      </c>
      <c r="C5" s="4">
        <v>5000000</v>
      </c>
      <c r="D5" s="4">
        <v>3000000</v>
      </c>
      <c r="E5" s="4">
        <v>2000000</v>
      </c>
      <c r="F5" s="4">
        <v>1000000</v>
      </c>
      <c r="G5" s="4">
        <v>500000</v>
      </c>
      <c r="I5" s="16">
        <f>I4+1</f>
        <v>1</v>
      </c>
      <c r="J5" s="16"/>
      <c r="K5" s="16"/>
      <c r="L5" s="16"/>
      <c r="M5" s="16"/>
      <c r="N5" s="16"/>
      <c r="P5" s="16">
        <f>P4+1</f>
        <v>1</v>
      </c>
      <c r="Q5" s="16"/>
      <c r="R5" s="16"/>
      <c r="S5" s="16"/>
      <c r="T5" s="16"/>
      <c r="U5" s="16"/>
      <c r="X5" s="15"/>
      <c r="AD5" s="16">
        <f>AD4+1</f>
        <v>1</v>
      </c>
      <c r="AE5" s="17">
        <f t="shared" ref="AE5:AE34" si="10">C$28</f>
        <v>38955</v>
      </c>
      <c r="AF5" s="17">
        <f t="shared" ref="AF5:AF34" si="11">D$28</f>
        <v>36329</v>
      </c>
      <c r="AG5" s="17">
        <f t="shared" ref="AG5:AG34" si="12">E$28</f>
        <v>29149</v>
      </c>
      <c r="AH5" s="17">
        <f t="shared" ref="AH5:AH34" si="13">F$28</f>
        <v>26803</v>
      </c>
      <c r="AI5" s="17">
        <f t="shared" ref="AI5:AI34" si="14">G$28</f>
        <v>22701</v>
      </c>
    </row>
    <row r="6" spans="2:35">
      <c r="B6" s="5" t="s">
        <v>8</v>
      </c>
      <c r="C6" s="6">
        <v>33501</v>
      </c>
      <c r="D6" s="6">
        <v>30432</v>
      </c>
      <c r="E6" s="6">
        <v>27128</v>
      </c>
      <c r="F6" s="6">
        <v>22038</v>
      </c>
      <c r="G6" s="6">
        <v>17492</v>
      </c>
      <c r="I6" s="16">
        <f t="shared" ref="I6:I68" si="15">I5+1</f>
        <v>2</v>
      </c>
      <c r="J6" s="16"/>
      <c r="K6" s="16"/>
      <c r="L6" s="16"/>
      <c r="M6" s="16"/>
      <c r="N6" s="16"/>
      <c r="P6" s="16">
        <f t="shared" ref="P6:P32" si="16">P5+1</f>
        <v>2</v>
      </c>
      <c r="Q6" s="16"/>
      <c r="R6" s="16"/>
      <c r="S6" s="16"/>
      <c r="T6" s="16"/>
      <c r="U6" s="16"/>
      <c r="X6" s="15"/>
      <c r="AD6" s="16">
        <f t="shared" ref="AD6:AD32" si="17">AD5+1</f>
        <v>2</v>
      </c>
      <c r="AE6" s="17">
        <f t="shared" si="10"/>
        <v>38955</v>
      </c>
      <c r="AF6" s="17">
        <f t="shared" si="11"/>
        <v>36329</v>
      </c>
      <c r="AG6" s="17">
        <f t="shared" si="12"/>
        <v>29149</v>
      </c>
      <c r="AH6" s="17">
        <f t="shared" si="13"/>
        <v>26803</v>
      </c>
      <c r="AI6" s="17">
        <f t="shared" si="14"/>
        <v>22701</v>
      </c>
    </row>
    <row r="7" spans="2:35">
      <c r="B7" s="5" t="s">
        <v>9</v>
      </c>
      <c r="C7" s="6">
        <v>28811</v>
      </c>
      <c r="D7" s="6">
        <v>26171</v>
      </c>
      <c r="E7" s="6">
        <v>23330</v>
      </c>
      <c r="F7" s="6">
        <v>18953</v>
      </c>
      <c r="G7" s="6">
        <v>15043</v>
      </c>
      <c r="I7" s="16">
        <f t="shared" si="15"/>
        <v>3</v>
      </c>
      <c r="J7" s="16"/>
      <c r="K7" s="16"/>
      <c r="L7" s="16"/>
      <c r="M7" s="16"/>
      <c r="N7" s="16"/>
      <c r="P7" s="16">
        <f t="shared" si="16"/>
        <v>3</v>
      </c>
      <c r="Q7" s="16"/>
      <c r="R7" s="16"/>
      <c r="S7" s="16"/>
      <c r="T7" s="16"/>
      <c r="U7" s="16"/>
      <c r="X7" s="15"/>
      <c r="AD7" s="16">
        <f t="shared" si="17"/>
        <v>3</v>
      </c>
      <c r="AE7" s="17">
        <f t="shared" si="10"/>
        <v>38955</v>
      </c>
      <c r="AF7" s="17">
        <f t="shared" si="11"/>
        <v>36329</v>
      </c>
      <c r="AG7" s="17">
        <f t="shared" si="12"/>
        <v>29149</v>
      </c>
      <c r="AH7" s="17">
        <f t="shared" si="13"/>
        <v>26803</v>
      </c>
      <c r="AI7" s="17">
        <f t="shared" si="14"/>
        <v>22701</v>
      </c>
    </row>
    <row r="8" spans="2:35">
      <c r="B8" s="5" t="s">
        <v>10</v>
      </c>
      <c r="C8" s="6">
        <v>21108</v>
      </c>
      <c r="D8" s="6">
        <v>19175</v>
      </c>
      <c r="E8" s="6">
        <v>17093</v>
      </c>
      <c r="F8" s="6">
        <v>13886</v>
      </c>
      <c r="G8" s="6">
        <v>11021</v>
      </c>
      <c r="I8" s="16">
        <f t="shared" si="15"/>
        <v>4</v>
      </c>
      <c r="J8" s="16"/>
      <c r="K8" s="16"/>
      <c r="L8" s="16"/>
      <c r="M8" s="16"/>
      <c r="N8" s="16"/>
      <c r="P8" s="16">
        <f t="shared" si="16"/>
        <v>4</v>
      </c>
      <c r="Q8" s="16"/>
      <c r="R8" s="16"/>
      <c r="S8" s="16"/>
      <c r="T8" s="16"/>
      <c r="U8" s="16"/>
      <c r="X8" s="15"/>
      <c r="AD8" s="16">
        <f t="shared" si="17"/>
        <v>4</v>
      </c>
      <c r="AE8" s="17">
        <f t="shared" si="10"/>
        <v>38955</v>
      </c>
      <c r="AF8" s="17">
        <f t="shared" si="11"/>
        <v>36329</v>
      </c>
      <c r="AG8" s="17">
        <f t="shared" si="12"/>
        <v>29149</v>
      </c>
      <c r="AH8" s="17">
        <f t="shared" si="13"/>
        <v>26803</v>
      </c>
      <c r="AI8" s="17">
        <f t="shared" si="14"/>
        <v>22701</v>
      </c>
    </row>
    <row r="9" spans="2:35">
      <c r="B9" s="5"/>
      <c r="C9" s="5"/>
      <c r="D9" s="5"/>
      <c r="E9" s="5"/>
      <c r="F9" s="5"/>
      <c r="G9" s="5"/>
      <c r="I9" s="16">
        <f t="shared" si="15"/>
        <v>5</v>
      </c>
      <c r="J9" s="16"/>
      <c r="K9" s="16"/>
      <c r="L9" s="16"/>
      <c r="M9" s="16"/>
      <c r="N9" s="16"/>
      <c r="P9" s="16">
        <f t="shared" si="16"/>
        <v>5</v>
      </c>
      <c r="Q9" s="16"/>
      <c r="R9" s="16"/>
      <c r="S9" s="16"/>
      <c r="T9" s="16"/>
      <c r="U9" s="16"/>
      <c r="X9" s="15"/>
      <c r="AD9" s="16">
        <f t="shared" si="17"/>
        <v>5</v>
      </c>
      <c r="AE9" s="17">
        <f t="shared" si="10"/>
        <v>38955</v>
      </c>
      <c r="AF9" s="17">
        <f t="shared" si="11"/>
        <v>36329</v>
      </c>
      <c r="AG9" s="17">
        <f t="shared" si="12"/>
        <v>29149</v>
      </c>
      <c r="AH9" s="17">
        <f t="shared" si="13"/>
        <v>26803</v>
      </c>
      <c r="AI9" s="17">
        <f t="shared" si="14"/>
        <v>22701</v>
      </c>
    </row>
    <row r="10" spans="2:35">
      <c r="B10" s="3" t="s">
        <v>11</v>
      </c>
      <c r="C10" s="3"/>
      <c r="D10" s="3"/>
      <c r="E10" s="3"/>
      <c r="F10" s="3"/>
      <c r="G10" s="3"/>
      <c r="I10" s="16">
        <f t="shared" si="15"/>
        <v>6</v>
      </c>
      <c r="J10" s="16"/>
      <c r="K10" s="16"/>
      <c r="L10" s="16"/>
      <c r="M10" s="16"/>
      <c r="N10" s="16"/>
      <c r="P10" s="16">
        <f t="shared" si="16"/>
        <v>6</v>
      </c>
      <c r="Q10" s="16"/>
      <c r="R10" s="16"/>
      <c r="S10" s="16"/>
      <c r="T10" s="16"/>
      <c r="U10" s="16"/>
      <c r="X10" s="15"/>
      <c r="AD10" s="16">
        <f t="shared" si="17"/>
        <v>6</v>
      </c>
      <c r="AE10" s="17">
        <f t="shared" si="10"/>
        <v>38955</v>
      </c>
      <c r="AF10" s="17">
        <f t="shared" si="11"/>
        <v>36329</v>
      </c>
      <c r="AG10" s="17">
        <f t="shared" si="12"/>
        <v>29149</v>
      </c>
      <c r="AH10" s="17">
        <f t="shared" si="13"/>
        <v>26803</v>
      </c>
      <c r="AI10" s="17">
        <f t="shared" si="14"/>
        <v>22701</v>
      </c>
    </row>
    <row r="11" spans="2:35">
      <c r="B11" s="3"/>
      <c r="C11" s="3"/>
      <c r="D11" s="3"/>
      <c r="E11" s="3"/>
      <c r="F11" s="3"/>
      <c r="G11" s="3"/>
      <c r="I11" s="16">
        <f t="shared" si="15"/>
        <v>7</v>
      </c>
      <c r="J11" s="16"/>
      <c r="K11" s="16"/>
      <c r="L11" s="16"/>
      <c r="M11" s="16"/>
      <c r="N11" s="16"/>
      <c r="P11" s="16">
        <f t="shared" si="16"/>
        <v>7</v>
      </c>
      <c r="Q11" s="16"/>
      <c r="R11" s="16"/>
      <c r="S11" s="16"/>
      <c r="T11" s="16"/>
      <c r="U11" s="16"/>
      <c r="X11" s="15"/>
      <c r="AD11" s="16">
        <f t="shared" si="17"/>
        <v>7</v>
      </c>
      <c r="AE11" s="17">
        <f t="shared" si="10"/>
        <v>38955</v>
      </c>
      <c r="AF11" s="17">
        <f t="shared" si="11"/>
        <v>36329</v>
      </c>
      <c r="AG11" s="17">
        <f t="shared" si="12"/>
        <v>29149</v>
      </c>
      <c r="AH11" s="17">
        <f t="shared" si="13"/>
        <v>26803</v>
      </c>
      <c r="AI11" s="17">
        <f t="shared" si="14"/>
        <v>22701</v>
      </c>
    </row>
    <row r="12" spans="2:35">
      <c r="B12" s="5" t="s">
        <v>8</v>
      </c>
      <c r="C12" s="6">
        <v>35694</v>
      </c>
      <c r="D12" s="6">
        <v>32425</v>
      </c>
      <c r="E12" s="6">
        <v>28904</v>
      </c>
      <c r="F12" s="6">
        <v>23481</v>
      </c>
      <c r="G12" s="6">
        <v>18638</v>
      </c>
      <c r="I12" s="16">
        <f t="shared" si="15"/>
        <v>8</v>
      </c>
      <c r="J12" s="16"/>
      <c r="K12" s="16"/>
      <c r="L12" s="16"/>
      <c r="M12" s="16"/>
      <c r="N12" s="16"/>
      <c r="P12" s="16">
        <f t="shared" si="16"/>
        <v>8</v>
      </c>
      <c r="Q12" s="16"/>
      <c r="R12" s="16"/>
      <c r="S12" s="16"/>
      <c r="T12" s="16"/>
      <c r="U12" s="16"/>
      <c r="X12" s="15"/>
      <c r="AD12" s="16">
        <f t="shared" si="17"/>
        <v>8</v>
      </c>
      <c r="AE12" s="17">
        <f t="shared" si="10"/>
        <v>38955</v>
      </c>
      <c r="AF12" s="17">
        <f t="shared" si="11"/>
        <v>36329</v>
      </c>
      <c r="AG12" s="17">
        <f t="shared" si="12"/>
        <v>29149</v>
      </c>
      <c r="AH12" s="17">
        <f t="shared" si="13"/>
        <v>26803</v>
      </c>
      <c r="AI12" s="17">
        <f t="shared" si="14"/>
        <v>22701</v>
      </c>
    </row>
    <row r="13" spans="2:35">
      <c r="B13" s="5" t="s">
        <v>9</v>
      </c>
      <c r="C13" s="6">
        <v>30697</v>
      </c>
      <c r="D13" s="6">
        <v>27885</v>
      </c>
      <c r="E13" s="6">
        <v>24857</v>
      </c>
      <c r="F13" s="6">
        <v>20193</v>
      </c>
      <c r="G13" s="6">
        <v>16028</v>
      </c>
      <c r="I13" s="16">
        <f t="shared" si="15"/>
        <v>9</v>
      </c>
      <c r="J13" s="16"/>
      <c r="K13" s="16"/>
      <c r="L13" s="16"/>
      <c r="M13" s="16"/>
      <c r="N13" s="16"/>
      <c r="P13" s="16">
        <f t="shared" si="16"/>
        <v>9</v>
      </c>
      <c r="Q13" s="16"/>
      <c r="R13" s="16"/>
      <c r="S13" s="16"/>
      <c r="T13" s="16"/>
      <c r="U13" s="16"/>
      <c r="X13" s="15"/>
      <c r="AD13" s="16">
        <f t="shared" si="17"/>
        <v>9</v>
      </c>
      <c r="AE13" s="17">
        <f t="shared" si="10"/>
        <v>38955</v>
      </c>
      <c r="AF13" s="17">
        <f t="shared" si="11"/>
        <v>36329</v>
      </c>
      <c r="AG13" s="17">
        <f t="shared" si="12"/>
        <v>29149</v>
      </c>
      <c r="AH13" s="17">
        <f t="shared" si="13"/>
        <v>26803</v>
      </c>
      <c r="AI13" s="17">
        <f t="shared" si="14"/>
        <v>22701</v>
      </c>
    </row>
    <row r="14" spans="2:35">
      <c r="B14" s="5" t="s">
        <v>10</v>
      </c>
      <c r="C14" s="6">
        <v>21108</v>
      </c>
      <c r="D14" s="6">
        <v>19175</v>
      </c>
      <c r="E14" s="6">
        <v>17093</v>
      </c>
      <c r="F14" s="6">
        <v>13886</v>
      </c>
      <c r="G14" s="6">
        <v>11021</v>
      </c>
      <c r="I14" s="16">
        <f t="shared" si="15"/>
        <v>10</v>
      </c>
      <c r="J14" s="16"/>
      <c r="K14" s="16"/>
      <c r="L14" s="16"/>
      <c r="M14" s="16"/>
      <c r="N14" s="16"/>
      <c r="P14" s="16">
        <f t="shared" si="16"/>
        <v>10</v>
      </c>
      <c r="Q14" s="16"/>
      <c r="R14" s="16"/>
      <c r="S14" s="16"/>
      <c r="T14" s="16"/>
      <c r="U14" s="16"/>
      <c r="X14" s="15"/>
      <c r="AD14" s="16">
        <f t="shared" si="17"/>
        <v>10</v>
      </c>
      <c r="AE14" s="17">
        <f t="shared" si="10"/>
        <v>38955</v>
      </c>
      <c r="AF14" s="17">
        <f t="shared" si="11"/>
        <v>36329</v>
      </c>
      <c r="AG14" s="17">
        <f t="shared" si="12"/>
        <v>29149</v>
      </c>
      <c r="AH14" s="17">
        <f t="shared" si="13"/>
        <v>26803</v>
      </c>
      <c r="AI14" s="17">
        <f t="shared" si="14"/>
        <v>22701</v>
      </c>
    </row>
    <row r="15" spans="2:35">
      <c r="B15" s="5"/>
      <c r="C15" s="5"/>
      <c r="D15" s="5"/>
      <c r="E15" s="5"/>
      <c r="F15" s="5"/>
      <c r="G15" s="5"/>
      <c r="I15" s="16">
        <f t="shared" si="15"/>
        <v>11</v>
      </c>
      <c r="J15" s="16"/>
      <c r="K15" s="16"/>
      <c r="L15" s="16"/>
      <c r="M15" s="16"/>
      <c r="N15" s="16"/>
      <c r="P15" s="16">
        <f t="shared" si="16"/>
        <v>11</v>
      </c>
      <c r="Q15" s="16"/>
      <c r="R15" s="16"/>
      <c r="S15" s="16"/>
      <c r="T15" s="16"/>
      <c r="U15" s="16"/>
      <c r="X15" s="15"/>
      <c r="AD15" s="16">
        <f t="shared" si="17"/>
        <v>11</v>
      </c>
      <c r="AE15" s="17">
        <f t="shared" si="10"/>
        <v>38955</v>
      </c>
      <c r="AF15" s="17">
        <f t="shared" si="11"/>
        <v>36329</v>
      </c>
      <c r="AG15" s="17">
        <f t="shared" si="12"/>
        <v>29149</v>
      </c>
      <c r="AH15" s="17">
        <f t="shared" si="13"/>
        <v>26803</v>
      </c>
      <c r="AI15" s="17">
        <f t="shared" si="14"/>
        <v>22701</v>
      </c>
    </row>
    <row r="16" spans="2:35">
      <c r="B16" s="3" t="s">
        <v>12</v>
      </c>
      <c r="C16" s="3"/>
      <c r="D16" s="3"/>
      <c r="E16" s="3"/>
      <c r="F16" s="3"/>
      <c r="G16" s="3"/>
      <c r="I16" s="16">
        <f t="shared" si="15"/>
        <v>12</v>
      </c>
      <c r="J16" s="16"/>
      <c r="K16" s="16"/>
      <c r="L16" s="16"/>
      <c r="M16" s="16"/>
      <c r="N16" s="16"/>
      <c r="P16" s="16">
        <f t="shared" si="16"/>
        <v>12</v>
      </c>
      <c r="Q16" s="16"/>
      <c r="R16" s="16"/>
      <c r="S16" s="16"/>
      <c r="T16" s="16"/>
      <c r="U16" s="16"/>
      <c r="X16" s="15"/>
      <c r="AD16" s="16">
        <f t="shared" si="17"/>
        <v>12</v>
      </c>
      <c r="AE16" s="17">
        <f t="shared" si="10"/>
        <v>38955</v>
      </c>
      <c r="AF16" s="17">
        <f t="shared" si="11"/>
        <v>36329</v>
      </c>
      <c r="AG16" s="17">
        <f t="shared" si="12"/>
        <v>29149</v>
      </c>
      <c r="AH16" s="17">
        <f t="shared" si="13"/>
        <v>26803</v>
      </c>
      <c r="AI16" s="17">
        <f t="shared" si="14"/>
        <v>22701</v>
      </c>
    </row>
    <row r="17" spans="2:35">
      <c r="B17" s="5" t="s">
        <v>8</v>
      </c>
      <c r="C17" s="6">
        <v>42923</v>
      </c>
      <c r="D17" s="6">
        <v>38991</v>
      </c>
      <c r="E17" s="6">
        <v>34757</v>
      </c>
      <c r="F17" s="6">
        <v>28236</v>
      </c>
      <c r="G17" s="6">
        <v>22412</v>
      </c>
      <c r="I17" s="16">
        <f t="shared" si="15"/>
        <v>13</v>
      </c>
      <c r="J17" s="16"/>
      <c r="K17" s="16"/>
      <c r="L17" s="16"/>
      <c r="M17" s="16"/>
      <c r="N17" s="16"/>
      <c r="P17" s="16">
        <f t="shared" si="16"/>
        <v>13</v>
      </c>
      <c r="Q17" s="16"/>
      <c r="R17" s="16"/>
      <c r="S17" s="16"/>
      <c r="T17" s="16"/>
      <c r="U17" s="16"/>
      <c r="X17" s="15"/>
      <c r="AD17" s="16">
        <f t="shared" si="17"/>
        <v>13</v>
      </c>
      <c r="AE17" s="17">
        <f t="shared" si="10"/>
        <v>38955</v>
      </c>
      <c r="AF17" s="17">
        <f t="shared" si="11"/>
        <v>36329</v>
      </c>
      <c r="AG17" s="17">
        <f t="shared" si="12"/>
        <v>29149</v>
      </c>
      <c r="AH17" s="17">
        <f t="shared" si="13"/>
        <v>26803</v>
      </c>
      <c r="AI17" s="17">
        <f t="shared" si="14"/>
        <v>22701</v>
      </c>
    </row>
    <row r="18" spans="2:35">
      <c r="B18" s="5" t="s">
        <v>9</v>
      </c>
      <c r="C18" s="6">
        <v>36913</v>
      </c>
      <c r="D18" s="6">
        <v>33532</v>
      </c>
      <c r="E18" s="6">
        <v>29891</v>
      </c>
      <c r="F18" s="6">
        <v>24283</v>
      </c>
      <c r="G18" s="6">
        <v>19274</v>
      </c>
      <c r="I18" s="16">
        <f t="shared" si="15"/>
        <v>14</v>
      </c>
      <c r="J18" s="16"/>
      <c r="K18" s="16"/>
      <c r="L18" s="16"/>
      <c r="M18" s="16"/>
      <c r="N18" s="16"/>
      <c r="P18" s="16">
        <f t="shared" si="16"/>
        <v>14</v>
      </c>
      <c r="Q18" s="16"/>
      <c r="R18" s="16"/>
      <c r="S18" s="16"/>
      <c r="T18" s="16"/>
      <c r="U18" s="16"/>
      <c r="X18" s="15"/>
      <c r="AD18" s="16">
        <f t="shared" si="17"/>
        <v>14</v>
      </c>
      <c r="AE18" s="17">
        <f t="shared" si="10"/>
        <v>38955</v>
      </c>
      <c r="AF18" s="17">
        <f t="shared" si="11"/>
        <v>36329</v>
      </c>
      <c r="AG18" s="17">
        <f t="shared" si="12"/>
        <v>29149</v>
      </c>
      <c r="AH18" s="17">
        <f t="shared" si="13"/>
        <v>26803</v>
      </c>
      <c r="AI18" s="17">
        <f t="shared" si="14"/>
        <v>22701</v>
      </c>
    </row>
    <row r="19" spans="2:35">
      <c r="B19" s="5" t="s">
        <v>10</v>
      </c>
      <c r="C19" s="6">
        <v>21108</v>
      </c>
      <c r="D19" s="6">
        <v>19175</v>
      </c>
      <c r="E19" s="6">
        <v>17093</v>
      </c>
      <c r="F19" s="6">
        <v>13886</v>
      </c>
      <c r="G19" s="6">
        <v>11021</v>
      </c>
      <c r="I19" s="16">
        <f t="shared" si="15"/>
        <v>15</v>
      </c>
      <c r="J19" s="16"/>
      <c r="K19" s="16"/>
      <c r="L19" s="16"/>
      <c r="M19" s="16"/>
      <c r="N19" s="16"/>
      <c r="P19" s="16">
        <f t="shared" si="16"/>
        <v>15</v>
      </c>
      <c r="Q19" s="16"/>
      <c r="R19" s="16"/>
      <c r="S19" s="16"/>
      <c r="T19" s="16"/>
      <c r="U19" s="16"/>
      <c r="X19" s="15"/>
      <c r="AD19" s="16">
        <f t="shared" si="17"/>
        <v>15</v>
      </c>
      <c r="AE19" s="17">
        <f t="shared" si="10"/>
        <v>38955</v>
      </c>
      <c r="AF19" s="17">
        <f t="shared" si="11"/>
        <v>36329</v>
      </c>
      <c r="AG19" s="17">
        <f t="shared" si="12"/>
        <v>29149</v>
      </c>
      <c r="AH19" s="17">
        <f t="shared" si="13"/>
        <v>26803</v>
      </c>
      <c r="AI19" s="17">
        <f t="shared" si="14"/>
        <v>22701</v>
      </c>
    </row>
    <row r="20" spans="2:35">
      <c r="B20" s="5"/>
      <c r="C20" s="5"/>
      <c r="D20" s="5"/>
      <c r="E20" s="5"/>
      <c r="F20" s="5"/>
      <c r="G20" s="5"/>
      <c r="I20" s="16">
        <f t="shared" si="15"/>
        <v>16</v>
      </c>
      <c r="J20" s="16"/>
      <c r="K20" s="16"/>
      <c r="L20" s="16"/>
      <c r="M20" s="16"/>
      <c r="N20" s="16"/>
      <c r="P20" s="16">
        <f t="shared" si="16"/>
        <v>16</v>
      </c>
      <c r="Q20" s="16"/>
      <c r="R20" s="16"/>
      <c r="S20" s="16"/>
      <c r="T20" s="16"/>
      <c r="U20" s="16"/>
      <c r="X20" s="15"/>
      <c r="AD20" s="16">
        <f t="shared" si="17"/>
        <v>16</v>
      </c>
      <c r="AE20" s="17">
        <f t="shared" si="10"/>
        <v>38955</v>
      </c>
      <c r="AF20" s="17">
        <f t="shared" si="11"/>
        <v>36329</v>
      </c>
      <c r="AG20" s="17">
        <f t="shared" si="12"/>
        <v>29149</v>
      </c>
      <c r="AH20" s="17">
        <f t="shared" si="13"/>
        <v>26803</v>
      </c>
      <c r="AI20" s="17">
        <f t="shared" si="14"/>
        <v>22701</v>
      </c>
    </row>
    <row r="21" spans="2:35">
      <c r="B21" s="3" t="s">
        <v>13</v>
      </c>
      <c r="C21" s="3"/>
      <c r="D21" s="3"/>
      <c r="E21" s="3"/>
      <c r="F21" s="3"/>
      <c r="G21" s="3"/>
      <c r="I21" s="16">
        <f t="shared" si="15"/>
        <v>17</v>
      </c>
      <c r="J21" s="16"/>
      <c r="K21" s="16"/>
      <c r="L21" s="16"/>
      <c r="M21" s="16"/>
      <c r="N21" s="16"/>
      <c r="P21" s="16">
        <f t="shared" si="16"/>
        <v>17</v>
      </c>
      <c r="Q21" s="16"/>
      <c r="R21" s="16"/>
      <c r="S21" s="16"/>
      <c r="T21" s="16"/>
      <c r="U21" s="16"/>
      <c r="X21" s="15"/>
      <c r="AD21" s="16">
        <f t="shared" si="17"/>
        <v>17</v>
      </c>
      <c r="AE21" s="17">
        <f t="shared" si="10"/>
        <v>38955</v>
      </c>
      <c r="AF21" s="17">
        <f t="shared" si="11"/>
        <v>36329</v>
      </c>
      <c r="AG21" s="17">
        <f t="shared" si="12"/>
        <v>29149</v>
      </c>
      <c r="AH21" s="17">
        <f t="shared" si="13"/>
        <v>26803</v>
      </c>
      <c r="AI21" s="17">
        <f t="shared" si="14"/>
        <v>22701</v>
      </c>
    </row>
    <row r="22" spans="2:35">
      <c r="B22" s="5" t="s">
        <v>8</v>
      </c>
      <c r="C22" s="6">
        <v>46904</v>
      </c>
      <c r="D22" s="6">
        <v>42608</v>
      </c>
      <c r="E22" s="6">
        <v>37982</v>
      </c>
      <c r="F22" s="6">
        <v>30855</v>
      </c>
      <c r="G22" s="6">
        <v>24491</v>
      </c>
      <c r="I22" s="16">
        <f t="shared" si="15"/>
        <v>18</v>
      </c>
      <c r="J22" s="16"/>
      <c r="K22" s="16"/>
      <c r="L22" s="16"/>
      <c r="M22" s="16"/>
      <c r="N22" s="16"/>
      <c r="P22" s="16">
        <f t="shared" si="16"/>
        <v>18</v>
      </c>
      <c r="Q22" s="16"/>
      <c r="R22" s="16"/>
      <c r="S22" s="16"/>
      <c r="T22" s="16"/>
      <c r="U22" s="16"/>
      <c r="X22" s="15"/>
      <c r="AD22" s="16">
        <f t="shared" si="17"/>
        <v>18</v>
      </c>
      <c r="AE22" s="17">
        <f t="shared" si="10"/>
        <v>38955</v>
      </c>
      <c r="AF22" s="17">
        <f t="shared" si="11"/>
        <v>36329</v>
      </c>
      <c r="AG22" s="17">
        <f t="shared" si="12"/>
        <v>29149</v>
      </c>
      <c r="AH22" s="17">
        <f t="shared" si="13"/>
        <v>26803</v>
      </c>
      <c r="AI22" s="17">
        <f t="shared" si="14"/>
        <v>22701</v>
      </c>
    </row>
    <row r="23" spans="2:35">
      <c r="B23" s="5" t="s">
        <v>9</v>
      </c>
      <c r="C23" s="6">
        <v>40337</v>
      </c>
      <c r="D23" s="6">
        <v>36642</v>
      </c>
      <c r="E23" s="6">
        <v>32664</v>
      </c>
      <c r="F23" s="6">
        <v>26535</v>
      </c>
      <c r="G23" s="6">
        <v>21062</v>
      </c>
      <c r="I23" s="16">
        <f t="shared" si="15"/>
        <v>19</v>
      </c>
      <c r="J23" s="17">
        <f t="shared" ref="J23:J34" si="18">C$6</f>
        <v>33501</v>
      </c>
      <c r="K23" s="17">
        <f t="shared" ref="K23:K34" si="19">D$6</f>
        <v>30432</v>
      </c>
      <c r="L23" s="17">
        <f t="shared" ref="L23:L34" si="20">E$6</f>
        <v>27128</v>
      </c>
      <c r="M23" s="17">
        <f t="shared" ref="M23:M34" si="21">F$6</f>
        <v>22038</v>
      </c>
      <c r="N23" s="17">
        <f t="shared" ref="N23:N34" si="22">G$6</f>
        <v>17492</v>
      </c>
      <c r="P23" s="16">
        <f t="shared" si="16"/>
        <v>19</v>
      </c>
      <c r="Q23" s="17">
        <f>C$7</f>
        <v>28811</v>
      </c>
      <c r="R23" s="17">
        <f t="shared" ref="R23:U34" si="23">D$7</f>
        <v>26171</v>
      </c>
      <c r="S23" s="17">
        <f t="shared" si="23"/>
        <v>23330</v>
      </c>
      <c r="T23" s="17">
        <f t="shared" si="23"/>
        <v>18953</v>
      </c>
      <c r="U23" s="17">
        <f t="shared" si="23"/>
        <v>15043</v>
      </c>
      <c r="X23" s="15"/>
      <c r="AD23" s="16">
        <f t="shared" si="17"/>
        <v>19</v>
      </c>
      <c r="AE23" s="17">
        <f t="shared" si="10"/>
        <v>38955</v>
      </c>
      <c r="AF23" s="17">
        <f t="shared" si="11"/>
        <v>36329</v>
      </c>
      <c r="AG23" s="17">
        <f t="shared" si="12"/>
        <v>29149</v>
      </c>
      <c r="AH23" s="17">
        <f t="shared" si="13"/>
        <v>26803</v>
      </c>
      <c r="AI23" s="17">
        <f t="shared" si="14"/>
        <v>22701</v>
      </c>
    </row>
    <row r="24" spans="2:35">
      <c r="B24" s="5" t="s">
        <v>10</v>
      </c>
      <c r="C24" s="6">
        <v>21108</v>
      </c>
      <c r="D24" s="6">
        <v>19175</v>
      </c>
      <c r="E24" s="6">
        <v>17093</v>
      </c>
      <c r="F24" s="6">
        <v>13886</v>
      </c>
      <c r="G24" s="6">
        <v>11021</v>
      </c>
      <c r="I24" s="16">
        <f t="shared" si="15"/>
        <v>20</v>
      </c>
      <c r="J24" s="17">
        <f t="shared" si="18"/>
        <v>33501</v>
      </c>
      <c r="K24" s="17">
        <f t="shared" si="19"/>
        <v>30432</v>
      </c>
      <c r="L24" s="17">
        <f t="shared" si="20"/>
        <v>27128</v>
      </c>
      <c r="M24" s="17">
        <f t="shared" si="21"/>
        <v>22038</v>
      </c>
      <c r="N24" s="17">
        <f t="shared" si="22"/>
        <v>17492</v>
      </c>
      <c r="P24" s="16">
        <f t="shared" si="16"/>
        <v>20</v>
      </c>
      <c r="Q24" s="17">
        <f t="shared" ref="Q24:Q34" si="24">C$7</f>
        <v>28811</v>
      </c>
      <c r="R24" s="17">
        <f t="shared" si="23"/>
        <v>26171</v>
      </c>
      <c r="S24" s="17">
        <f t="shared" si="23"/>
        <v>23330</v>
      </c>
      <c r="T24" s="17">
        <f t="shared" si="23"/>
        <v>18953</v>
      </c>
      <c r="U24" s="17">
        <f t="shared" si="23"/>
        <v>15043</v>
      </c>
      <c r="X24" s="15"/>
      <c r="AD24" s="16">
        <f t="shared" si="17"/>
        <v>20</v>
      </c>
      <c r="AE24" s="17">
        <f t="shared" si="10"/>
        <v>38955</v>
      </c>
      <c r="AF24" s="17">
        <f t="shared" si="11"/>
        <v>36329</v>
      </c>
      <c r="AG24" s="17">
        <f t="shared" si="12"/>
        <v>29149</v>
      </c>
      <c r="AH24" s="17">
        <f t="shared" si="13"/>
        <v>26803</v>
      </c>
      <c r="AI24" s="17">
        <f t="shared" si="14"/>
        <v>22701</v>
      </c>
    </row>
    <row r="25" spans="2:35">
      <c r="B25" s="1"/>
      <c r="C25" s="2" t="s">
        <v>1</v>
      </c>
      <c r="D25" s="2" t="s">
        <v>2</v>
      </c>
      <c r="E25" s="2" t="s">
        <v>3</v>
      </c>
      <c r="F25" s="2" t="s">
        <v>4</v>
      </c>
      <c r="G25" s="2" t="s">
        <v>5</v>
      </c>
      <c r="I25" s="16">
        <f t="shared" si="15"/>
        <v>21</v>
      </c>
      <c r="J25" s="17">
        <f t="shared" si="18"/>
        <v>33501</v>
      </c>
      <c r="K25" s="17">
        <f t="shared" si="19"/>
        <v>30432</v>
      </c>
      <c r="L25" s="17">
        <f t="shared" si="20"/>
        <v>27128</v>
      </c>
      <c r="M25" s="17">
        <f t="shared" si="21"/>
        <v>22038</v>
      </c>
      <c r="N25" s="17">
        <f t="shared" si="22"/>
        <v>17492</v>
      </c>
      <c r="P25" s="16">
        <f t="shared" si="16"/>
        <v>21</v>
      </c>
      <c r="Q25" s="17">
        <f t="shared" si="24"/>
        <v>28811</v>
      </c>
      <c r="R25" s="17">
        <f t="shared" si="23"/>
        <v>26171</v>
      </c>
      <c r="S25" s="17">
        <f t="shared" si="23"/>
        <v>23330</v>
      </c>
      <c r="T25" s="17">
        <f t="shared" si="23"/>
        <v>18953</v>
      </c>
      <c r="U25" s="17">
        <f t="shared" si="23"/>
        <v>15043</v>
      </c>
      <c r="X25" s="15"/>
      <c r="AD25" s="16">
        <f t="shared" si="17"/>
        <v>21</v>
      </c>
      <c r="AE25" s="17">
        <f t="shared" si="10"/>
        <v>38955</v>
      </c>
      <c r="AF25" s="17">
        <f t="shared" si="11"/>
        <v>36329</v>
      </c>
      <c r="AG25" s="17">
        <f t="shared" si="12"/>
        <v>29149</v>
      </c>
      <c r="AH25" s="17">
        <f t="shared" si="13"/>
        <v>26803</v>
      </c>
      <c r="AI25" s="17">
        <f t="shared" si="14"/>
        <v>22701</v>
      </c>
    </row>
    <row r="26" spans="2:35">
      <c r="B26" s="2" t="s">
        <v>14</v>
      </c>
      <c r="C26" s="7">
        <v>200000</v>
      </c>
      <c r="D26" s="7">
        <v>150000</v>
      </c>
      <c r="E26" s="7">
        <v>100000</v>
      </c>
      <c r="F26" s="7">
        <v>75000</v>
      </c>
      <c r="G26" s="7">
        <v>50000</v>
      </c>
      <c r="I26" s="16">
        <f t="shared" si="15"/>
        <v>22</v>
      </c>
      <c r="J26" s="17">
        <f t="shared" si="18"/>
        <v>33501</v>
      </c>
      <c r="K26" s="17">
        <f t="shared" si="19"/>
        <v>30432</v>
      </c>
      <c r="L26" s="17">
        <f t="shared" si="20"/>
        <v>27128</v>
      </c>
      <c r="M26" s="17">
        <f t="shared" si="21"/>
        <v>22038</v>
      </c>
      <c r="N26" s="17">
        <f t="shared" si="22"/>
        <v>17492</v>
      </c>
      <c r="P26" s="16">
        <f t="shared" si="16"/>
        <v>22</v>
      </c>
      <c r="Q26" s="17">
        <f t="shared" si="24"/>
        <v>28811</v>
      </c>
      <c r="R26" s="17">
        <f t="shared" si="23"/>
        <v>26171</v>
      </c>
      <c r="S26" s="17">
        <f t="shared" si="23"/>
        <v>23330</v>
      </c>
      <c r="T26" s="17">
        <f t="shared" si="23"/>
        <v>18953</v>
      </c>
      <c r="U26" s="17">
        <f t="shared" si="23"/>
        <v>15043</v>
      </c>
      <c r="X26" s="15"/>
      <c r="AD26" s="16">
        <f t="shared" si="17"/>
        <v>22</v>
      </c>
      <c r="AE26" s="17">
        <f t="shared" si="10"/>
        <v>38955</v>
      </c>
      <c r="AF26" s="17">
        <f t="shared" si="11"/>
        <v>36329</v>
      </c>
      <c r="AG26" s="17">
        <f t="shared" si="12"/>
        <v>29149</v>
      </c>
      <c r="AH26" s="17">
        <f t="shared" si="13"/>
        <v>26803</v>
      </c>
      <c r="AI26" s="17">
        <f t="shared" si="14"/>
        <v>22701</v>
      </c>
    </row>
    <row r="27" spans="2:35">
      <c r="B27" s="5" t="s">
        <v>15</v>
      </c>
      <c r="C27" s="5"/>
      <c r="D27" s="5"/>
      <c r="E27" s="5"/>
      <c r="F27" s="5"/>
      <c r="G27" s="5"/>
      <c r="I27" s="16">
        <f t="shared" si="15"/>
        <v>23</v>
      </c>
      <c r="J27" s="17">
        <f t="shared" si="18"/>
        <v>33501</v>
      </c>
      <c r="K27" s="17">
        <f t="shared" si="19"/>
        <v>30432</v>
      </c>
      <c r="L27" s="17">
        <f t="shared" si="20"/>
        <v>27128</v>
      </c>
      <c r="M27" s="17">
        <f t="shared" si="21"/>
        <v>22038</v>
      </c>
      <c r="N27" s="17">
        <f t="shared" si="22"/>
        <v>17492</v>
      </c>
      <c r="P27" s="16">
        <f t="shared" si="16"/>
        <v>23</v>
      </c>
      <c r="Q27" s="17">
        <f t="shared" si="24"/>
        <v>28811</v>
      </c>
      <c r="R27" s="17">
        <f t="shared" si="23"/>
        <v>26171</v>
      </c>
      <c r="S27" s="17">
        <f t="shared" si="23"/>
        <v>23330</v>
      </c>
      <c r="T27" s="17">
        <f t="shared" si="23"/>
        <v>18953</v>
      </c>
      <c r="U27" s="17">
        <f t="shared" si="23"/>
        <v>15043</v>
      </c>
      <c r="X27" s="15"/>
      <c r="AD27" s="16">
        <f t="shared" si="17"/>
        <v>23</v>
      </c>
      <c r="AE27" s="17">
        <f t="shared" si="10"/>
        <v>38955</v>
      </c>
      <c r="AF27" s="17">
        <f t="shared" si="11"/>
        <v>36329</v>
      </c>
      <c r="AG27" s="17">
        <f t="shared" si="12"/>
        <v>29149</v>
      </c>
      <c r="AH27" s="17">
        <f t="shared" si="13"/>
        <v>26803</v>
      </c>
      <c r="AI27" s="17">
        <f t="shared" si="14"/>
        <v>22701</v>
      </c>
    </row>
    <row r="28" spans="2:35">
      <c r="B28" s="5" t="s">
        <v>16</v>
      </c>
      <c r="C28" s="6">
        <v>38955</v>
      </c>
      <c r="D28" s="6">
        <v>36329</v>
      </c>
      <c r="E28" s="6">
        <v>29149</v>
      </c>
      <c r="F28" s="6">
        <v>26803</v>
      </c>
      <c r="G28" s="6">
        <v>22701</v>
      </c>
      <c r="I28" s="16">
        <f t="shared" si="15"/>
        <v>24</v>
      </c>
      <c r="J28" s="17">
        <f t="shared" si="18"/>
        <v>33501</v>
      </c>
      <c r="K28" s="17">
        <f t="shared" si="19"/>
        <v>30432</v>
      </c>
      <c r="L28" s="17">
        <f t="shared" si="20"/>
        <v>27128</v>
      </c>
      <c r="M28" s="17">
        <f t="shared" si="21"/>
        <v>22038</v>
      </c>
      <c r="N28" s="17">
        <f t="shared" si="22"/>
        <v>17492</v>
      </c>
      <c r="P28" s="16">
        <f t="shared" si="16"/>
        <v>24</v>
      </c>
      <c r="Q28" s="17">
        <f t="shared" si="24"/>
        <v>28811</v>
      </c>
      <c r="R28" s="17">
        <f t="shared" si="23"/>
        <v>26171</v>
      </c>
      <c r="S28" s="17">
        <f t="shared" si="23"/>
        <v>23330</v>
      </c>
      <c r="T28" s="17">
        <f t="shared" si="23"/>
        <v>18953</v>
      </c>
      <c r="U28" s="17">
        <f t="shared" si="23"/>
        <v>15043</v>
      </c>
      <c r="X28" s="15"/>
      <c r="AD28" s="16">
        <f t="shared" si="17"/>
        <v>24</v>
      </c>
      <c r="AE28" s="17">
        <f t="shared" si="10"/>
        <v>38955</v>
      </c>
      <c r="AF28" s="17">
        <f t="shared" si="11"/>
        <v>36329</v>
      </c>
      <c r="AG28" s="17">
        <f t="shared" si="12"/>
        <v>29149</v>
      </c>
      <c r="AH28" s="17">
        <f t="shared" si="13"/>
        <v>26803</v>
      </c>
      <c r="AI28" s="17">
        <f t="shared" si="14"/>
        <v>22701</v>
      </c>
    </row>
    <row r="29" spans="2:35">
      <c r="B29" s="5" t="s">
        <v>17</v>
      </c>
      <c r="C29" s="6">
        <v>48694</v>
      </c>
      <c r="D29" s="6">
        <v>45411</v>
      </c>
      <c r="E29" s="6">
        <v>36437</v>
      </c>
      <c r="F29" s="6">
        <v>33504</v>
      </c>
      <c r="G29" s="6">
        <v>28376</v>
      </c>
      <c r="I29" s="16">
        <f t="shared" si="15"/>
        <v>25</v>
      </c>
      <c r="J29" s="17">
        <f t="shared" si="18"/>
        <v>33501</v>
      </c>
      <c r="K29" s="17">
        <f t="shared" si="19"/>
        <v>30432</v>
      </c>
      <c r="L29" s="17">
        <f t="shared" si="20"/>
        <v>27128</v>
      </c>
      <c r="M29" s="17">
        <f t="shared" si="21"/>
        <v>22038</v>
      </c>
      <c r="N29" s="17">
        <f t="shared" si="22"/>
        <v>17492</v>
      </c>
      <c r="P29" s="16">
        <f t="shared" si="16"/>
        <v>25</v>
      </c>
      <c r="Q29" s="17">
        <f t="shared" si="24"/>
        <v>28811</v>
      </c>
      <c r="R29" s="17">
        <f t="shared" si="23"/>
        <v>26171</v>
      </c>
      <c r="S29" s="17">
        <f t="shared" si="23"/>
        <v>23330</v>
      </c>
      <c r="T29" s="17">
        <f t="shared" si="23"/>
        <v>18953</v>
      </c>
      <c r="U29" s="17">
        <f t="shared" si="23"/>
        <v>15043</v>
      </c>
      <c r="X29" s="15"/>
      <c r="AD29" s="16">
        <f t="shared" si="17"/>
        <v>25</v>
      </c>
      <c r="AE29" s="17">
        <f t="shared" si="10"/>
        <v>38955</v>
      </c>
      <c r="AF29" s="17">
        <f t="shared" si="11"/>
        <v>36329</v>
      </c>
      <c r="AG29" s="17">
        <f t="shared" si="12"/>
        <v>29149</v>
      </c>
      <c r="AH29" s="17">
        <f t="shared" si="13"/>
        <v>26803</v>
      </c>
      <c r="AI29" s="17">
        <f t="shared" si="14"/>
        <v>22701</v>
      </c>
    </row>
    <row r="30" spans="2:35">
      <c r="B30" s="5" t="s">
        <v>18</v>
      </c>
      <c r="C30" s="6">
        <v>58432</v>
      </c>
      <c r="D30" s="6">
        <v>54493</v>
      </c>
      <c r="E30" s="6">
        <v>43724</v>
      </c>
      <c r="F30" s="6">
        <v>40204</v>
      </c>
      <c r="G30" s="6">
        <v>34052</v>
      </c>
      <c r="I30" s="16">
        <f t="shared" si="15"/>
        <v>26</v>
      </c>
      <c r="J30" s="17">
        <f t="shared" si="18"/>
        <v>33501</v>
      </c>
      <c r="K30" s="17">
        <f t="shared" si="19"/>
        <v>30432</v>
      </c>
      <c r="L30" s="17">
        <f t="shared" si="20"/>
        <v>27128</v>
      </c>
      <c r="M30" s="17">
        <f t="shared" si="21"/>
        <v>22038</v>
      </c>
      <c r="N30" s="17">
        <f t="shared" si="22"/>
        <v>17492</v>
      </c>
      <c r="P30" s="16">
        <f t="shared" si="16"/>
        <v>26</v>
      </c>
      <c r="Q30" s="17">
        <f t="shared" si="24"/>
        <v>28811</v>
      </c>
      <c r="R30" s="17">
        <f t="shared" si="23"/>
        <v>26171</v>
      </c>
      <c r="S30" s="17">
        <f t="shared" si="23"/>
        <v>23330</v>
      </c>
      <c r="T30" s="17">
        <f t="shared" si="23"/>
        <v>18953</v>
      </c>
      <c r="U30" s="17">
        <f t="shared" si="23"/>
        <v>15043</v>
      </c>
      <c r="X30" s="15"/>
      <c r="AD30" s="16">
        <f t="shared" si="17"/>
        <v>26</v>
      </c>
      <c r="AE30" s="17">
        <f t="shared" si="10"/>
        <v>38955</v>
      </c>
      <c r="AF30" s="17">
        <f t="shared" si="11"/>
        <v>36329</v>
      </c>
      <c r="AG30" s="17">
        <f t="shared" si="12"/>
        <v>29149</v>
      </c>
      <c r="AH30" s="17">
        <f t="shared" si="13"/>
        <v>26803</v>
      </c>
      <c r="AI30" s="17">
        <f t="shared" si="14"/>
        <v>22701</v>
      </c>
    </row>
    <row r="31" spans="2:35">
      <c r="B31" s="5" t="s">
        <v>19</v>
      </c>
      <c r="C31" s="6">
        <v>68171</v>
      </c>
      <c r="D31" s="6">
        <v>63575</v>
      </c>
      <c r="E31" s="6">
        <v>51012</v>
      </c>
      <c r="F31" s="6">
        <v>46905</v>
      </c>
      <c r="G31" s="6">
        <v>39727</v>
      </c>
      <c r="I31" s="16">
        <f t="shared" si="15"/>
        <v>27</v>
      </c>
      <c r="J31" s="17">
        <f t="shared" si="18"/>
        <v>33501</v>
      </c>
      <c r="K31" s="17">
        <f t="shared" si="19"/>
        <v>30432</v>
      </c>
      <c r="L31" s="17">
        <f t="shared" si="20"/>
        <v>27128</v>
      </c>
      <c r="M31" s="17">
        <f t="shared" si="21"/>
        <v>22038</v>
      </c>
      <c r="N31" s="17">
        <f t="shared" si="22"/>
        <v>17492</v>
      </c>
      <c r="P31" s="16">
        <f t="shared" si="16"/>
        <v>27</v>
      </c>
      <c r="Q31" s="17">
        <f t="shared" si="24"/>
        <v>28811</v>
      </c>
      <c r="R31" s="17">
        <f t="shared" si="23"/>
        <v>26171</v>
      </c>
      <c r="S31" s="17">
        <f t="shared" si="23"/>
        <v>23330</v>
      </c>
      <c r="T31" s="17">
        <f t="shared" si="23"/>
        <v>18953</v>
      </c>
      <c r="U31" s="17">
        <f t="shared" si="23"/>
        <v>15043</v>
      </c>
      <c r="X31" s="15"/>
      <c r="AD31" s="16">
        <f t="shared" si="17"/>
        <v>27</v>
      </c>
      <c r="AE31" s="17">
        <f t="shared" si="10"/>
        <v>38955</v>
      </c>
      <c r="AF31" s="17">
        <f t="shared" si="11"/>
        <v>36329</v>
      </c>
      <c r="AG31" s="17">
        <f t="shared" si="12"/>
        <v>29149</v>
      </c>
      <c r="AH31" s="17">
        <f t="shared" si="13"/>
        <v>26803</v>
      </c>
      <c r="AI31" s="17">
        <f t="shared" si="14"/>
        <v>22701</v>
      </c>
    </row>
    <row r="32" spans="2:35">
      <c r="B32" s="5"/>
      <c r="C32" s="5"/>
      <c r="D32" s="5"/>
      <c r="E32" s="5"/>
      <c r="F32" s="5"/>
      <c r="G32" s="5"/>
      <c r="I32" s="16">
        <f t="shared" si="15"/>
        <v>28</v>
      </c>
      <c r="J32" s="17">
        <f t="shared" si="18"/>
        <v>33501</v>
      </c>
      <c r="K32" s="17">
        <f t="shared" si="19"/>
        <v>30432</v>
      </c>
      <c r="L32" s="17">
        <f t="shared" si="20"/>
        <v>27128</v>
      </c>
      <c r="M32" s="17">
        <f t="shared" si="21"/>
        <v>22038</v>
      </c>
      <c r="N32" s="17">
        <f t="shared" si="22"/>
        <v>17492</v>
      </c>
      <c r="P32" s="16">
        <f t="shared" si="16"/>
        <v>28</v>
      </c>
      <c r="Q32" s="17">
        <f t="shared" si="24"/>
        <v>28811</v>
      </c>
      <c r="R32" s="17">
        <f t="shared" si="23"/>
        <v>26171</v>
      </c>
      <c r="S32" s="17">
        <f t="shared" si="23"/>
        <v>23330</v>
      </c>
      <c r="T32" s="17">
        <f t="shared" si="23"/>
        <v>18953</v>
      </c>
      <c r="U32" s="17">
        <f t="shared" si="23"/>
        <v>15043</v>
      </c>
      <c r="X32" s="15"/>
      <c r="AD32" s="16">
        <f t="shared" si="17"/>
        <v>28</v>
      </c>
      <c r="AE32" s="17">
        <f t="shared" si="10"/>
        <v>38955</v>
      </c>
      <c r="AF32" s="17">
        <f t="shared" si="11"/>
        <v>36329</v>
      </c>
      <c r="AG32" s="17">
        <f t="shared" si="12"/>
        <v>29149</v>
      </c>
      <c r="AH32" s="17">
        <f t="shared" si="13"/>
        <v>26803</v>
      </c>
      <c r="AI32" s="17">
        <f t="shared" si="14"/>
        <v>22701</v>
      </c>
    </row>
    <row r="33" spans="2:35">
      <c r="B33" s="2" t="s">
        <v>20</v>
      </c>
      <c r="C33" s="7">
        <v>200000</v>
      </c>
      <c r="D33" s="7">
        <v>150000</v>
      </c>
      <c r="E33" s="7">
        <v>120000</v>
      </c>
      <c r="F33" s="7">
        <v>100000</v>
      </c>
      <c r="G33" s="7">
        <v>75000</v>
      </c>
      <c r="I33" s="16">
        <f>I32+1</f>
        <v>29</v>
      </c>
      <c r="J33" s="17">
        <f t="shared" si="18"/>
        <v>33501</v>
      </c>
      <c r="K33" s="17">
        <f t="shared" si="19"/>
        <v>30432</v>
      </c>
      <c r="L33" s="17">
        <f t="shared" si="20"/>
        <v>27128</v>
      </c>
      <c r="M33" s="17">
        <f t="shared" si="21"/>
        <v>22038</v>
      </c>
      <c r="N33" s="17">
        <f t="shared" si="22"/>
        <v>17492</v>
      </c>
      <c r="P33" s="16">
        <f>P32+1</f>
        <v>29</v>
      </c>
      <c r="Q33" s="17">
        <f t="shared" si="24"/>
        <v>28811</v>
      </c>
      <c r="R33" s="17">
        <f t="shared" si="23"/>
        <v>26171</v>
      </c>
      <c r="S33" s="17">
        <f t="shared" si="23"/>
        <v>23330</v>
      </c>
      <c r="T33" s="17">
        <f t="shared" si="23"/>
        <v>18953</v>
      </c>
      <c r="U33" s="17">
        <f t="shared" si="23"/>
        <v>15043</v>
      </c>
      <c r="X33" s="15"/>
      <c r="AD33" s="16">
        <f>AD32+1</f>
        <v>29</v>
      </c>
      <c r="AE33" s="17">
        <f t="shared" si="10"/>
        <v>38955</v>
      </c>
      <c r="AF33" s="17">
        <f t="shared" si="11"/>
        <v>36329</v>
      </c>
      <c r="AG33" s="17">
        <f t="shared" si="12"/>
        <v>29149</v>
      </c>
      <c r="AH33" s="17">
        <f t="shared" si="13"/>
        <v>26803</v>
      </c>
      <c r="AI33" s="17">
        <f t="shared" si="14"/>
        <v>22701</v>
      </c>
    </row>
    <row r="34" spans="2:35">
      <c r="B34" s="5" t="s">
        <v>15</v>
      </c>
      <c r="C34" s="6">
        <v>44672</v>
      </c>
      <c r="D34" s="6">
        <v>34359</v>
      </c>
      <c r="E34" s="6">
        <v>28879</v>
      </c>
      <c r="F34" s="6">
        <v>26976</v>
      </c>
      <c r="G34" s="6">
        <v>23620</v>
      </c>
      <c r="I34" s="16">
        <f t="shared" si="15"/>
        <v>30</v>
      </c>
      <c r="J34" s="17">
        <f t="shared" si="18"/>
        <v>33501</v>
      </c>
      <c r="K34" s="17">
        <f t="shared" si="19"/>
        <v>30432</v>
      </c>
      <c r="L34" s="17">
        <f t="shared" si="20"/>
        <v>27128</v>
      </c>
      <c r="M34" s="17">
        <f t="shared" si="21"/>
        <v>22038</v>
      </c>
      <c r="N34" s="17">
        <f t="shared" si="22"/>
        <v>17492</v>
      </c>
      <c r="P34" s="16">
        <f t="shared" ref="P34:P40" si="25">P33+1</f>
        <v>30</v>
      </c>
      <c r="Q34" s="17">
        <f t="shared" si="24"/>
        <v>28811</v>
      </c>
      <c r="R34" s="17">
        <f t="shared" si="23"/>
        <v>26171</v>
      </c>
      <c r="S34" s="17">
        <f t="shared" si="23"/>
        <v>23330</v>
      </c>
      <c r="T34" s="17">
        <f t="shared" si="23"/>
        <v>18953</v>
      </c>
      <c r="U34" s="17">
        <f t="shared" si="23"/>
        <v>15043</v>
      </c>
      <c r="X34" s="15"/>
      <c r="AD34" s="16">
        <f t="shared" ref="AD34:AD40" si="26">AD33+1</f>
        <v>30</v>
      </c>
      <c r="AE34" s="17">
        <f t="shared" si="10"/>
        <v>38955</v>
      </c>
      <c r="AF34" s="17">
        <f t="shared" si="11"/>
        <v>36329</v>
      </c>
      <c r="AG34" s="17">
        <f t="shared" si="12"/>
        <v>29149</v>
      </c>
      <c r="AH34" s="17">
        <f t="shared" si="13"/>
        <v>26803</v>
      </c>
      <c r="AI34" s="17">
        <f t="shared" si="14"/>
        <v>22701</v>
      </c>
    </row>
    <row r="35" spans="2:35">
      <c r="I35" s="16">
        <f t="shared" si="15"/>
        <v>31</v>
      </c>
      <c r="J35" s="17">
        <f t="shared" ref="J35:J44" si="27">C$12</f>
        <v>35694</v>
      </c>
      <c r="K35" s="17">
        <f t="shared" ref="K35:K44" si="28">D$12</f>
        <v>32425</v>
      </c>
      <c r="L35" s="17">
        <f t="shared" ref="L35:L44" si="29">E$12</f>
        <v>28904</v>
      </c>
      <c r="M35" s="17">
        <f t="shared" ref="M35:M44" si="30">F$12</f>
        <v>23481</v>
      </c>
      <c r="N35" s="17">
        <f t="shared" ref="N35:N44" si="31">G$12</f>
        <v>18638</v>
      </c>
      <c r="P35" s="16">
        <f t="shared" si="25"/>
        <v>31</v>
      </c>
      <c r="Q35" s="17">
        <f>C$13</f>
        <v>30697</v>
      </c>
      <c r="R35" s="17">
        <f t="shared" ref="R35:U44" si="32">D$13</f>
        <v>27885</v>
      </c>
      <c r="S35" s="17">
        <f t="shared" si="32"/>
        <v>24857</v>
      </c>
      <c r="T35" s="17">
        <f t="shared" si="32"/>
        <v>20193</v>
      </c>
      <c r="U35" s="17">
        <f t="shared" si="32"/>
        <v>16028</v>
      </c>
      <c r="X35" s="15"/>
      <c r="AD35" s="16">
        <f t="shared" si="26"/>
        <v>31</v>
      </c>
      <c r="AE35" s="17">
        <f>C$29</f>
        <v>48694</v>
      </c>
      <c r="AF35" s="17">
        <f t="shared" ref="AF35:AI44" si="33">D$29</f>
        <v>45411</v>
      </c>
      <c r="AG35" s="17">
        <f t="shared" si="33"/>
        <v>36437</v>
      </c>
      <c r="AH35" s="17">
        <f t="shared" si="33"/>
        <v>33504</v>
      </c>
      <c r="AI35" s="17">
        <f t="shared" si="33"/>
        <v>28376</v>
      </c>
    </row>
    <row r="36" spans="2:35" ht="15" thickBot="1">
      <c r="B36" s="8" t="s">
        <v>21</v>
      </c>
      <c r="C36" s="9">
        <v>40000</v>
      </c>
      <c r="D36" s="9">
        <v>30000</v>
      </c>
      <c r="E36" s="9">
        <v>20000</v>
      </c>
      <c r="F36" s="9">
        <v>10000</v>
      </c>
      <c r="G36" s="9">
        <v>7500</v>
      </c>
      <c r="I36" s="16">
        <f t="shared" si="15"/>
        <v>32</v>
      </c>
      <c r="J36" s="17">
        <f t="shared" si="27"/>
        <v>35694</v>
      </c>
      <c r="K36" s="17">
        <f t="shared" si="28"/>
        <v>32425</v>
      </c>
      <c r="L36" s="17">
        <f t="shared" si="29"/>
        <v>28904</v>
      </c>
      <c r="M36" s="17">
        <f t="shared" si="30"/>
        <v>23481</v>
      </c>
      <c r="N36" s="17">
        <f t="shared" si="31"/>
        <v>18638</v>
      </c>
      <c r="P36" s="16">
        <f t="shared" si="25"/>
        <v>32</v>
      </c>
      <c r="Q36" s="17">
        <f t="shared" ref="Q36:Q44" si="34">C$13</f>
        <v>30697</v>
      </c>
      <c r="R36" s="17">
        <f t="shared" si="32"/>
        <v>27885</v>
      </c>
      <c r="S36" s="17">
        <f t="shared" si="32"/>
        <v>24857</v>
      </c>
      <c r="T36" s="17">
        <f t="shared" si="32"/>
        <v>20193</v>
      </c>
      <c r="U36" s="17">
        <f t="shared" si="32"/>
        <v>16028</v>
      </c>
      <c r="X36" s="15"/>
      <c r="AD36" s="16">
        <f t="shared" si="26"/>
        <v>32</v>
      </c>
      <c r="AE36" s="17">
        <f t="shared" ref="AE36:AE44" si="35">C$29</f>
        <v>48694</v>
      </c>
      <c r="AF36" s="17">
        <f t="shared" si="33"/>
        <v>45411</v>
      </c>
      <c r="AG36" s="17">
        <f t="shared" si="33"/>
        <v>36437</v>
      </c>
      <c r="AH36" s="17">
        <f t="shared" si="33"/>
        <v>33504</v>
      </c>
      <c r="AI36" s="17">
        <f t="shared" si="33"/>
        <v>28376</v>
      </c>
    </row>
    <row r="37" spans="2:35" ht="15" thickBot="1">
      <c r="B37" s="10" t="s">
        <v>15</v>
      </c>
      <c r="C37" s="11">
        <v>10925</v>
      </c>
      <c r="D37" s="11">
        <v>8194</v>
      </c>
      <c r="E37" s="11">
        <v>5462</v>
      </c>
      <c r="F37" s="11">
        <v>2731</v>
      </c>
      <c r="G37" s="11">
        <v>2048</v>
      </c>
      <c r="I37" s="16">
        <f t="shared" si="15"/>
        <v>33</v>
      </c>
      <c r="J37" s="17">
        <f t="shared" si="27"/>
        <v>35694</v>
      </c>
      <c r="K37" s="17">
        <f t="shared" si="28"/>
        <v>32425</v>
      </c>
      <c r="L37" s="17">
        <f t="shared" si="29"/>
        <v>28904</v>
      </c>
      <c r="M37" s="17">
        <f t="shared" si="30"/>
        <v>23481</v>
      </c>
      <c r="N37" s="17">
        <f t="shared" si="31"/>
        <v>18638</v>
      </c>
      <c r="P37" s="16">
        <f t="shared" si="25"/>
        <v>33</v>
      </c>
      <c r="Q37" s="17">
        <f t="shared" si="34"/>
        <v>30697</v>
      </c>
      <c r="R37" s="17">
        <f t="shared" si="32"/>
        <v>27885</v>
      </c>
      <c r="S37" s="17">
        <f t="shared" si="32"/>
        <v>24857</v>
      </c>
      <c r="T37" s="17">
        <f t="shared" si="32"/>
        <v>20193</v>
      </c>
      <c r="U37" s="17">
        <f t="shared" si="32"/>
        <v>16028</v>
      </c>
      <c r="X37" s="15"/>
      <c r="AD37" s="16">
        <f t="shared" si="26"/>
        <v>33</v>
      </c>
      <c r="AE37" s="17">
        <f t="shared" si="35"/>
        <v>48694</v>
      </c>
      <c r="AF37" s="17">
        <f t="shared" si="33"/>
        <v>45411</v>
      </c>
      <c r="AG37" s="17">
        <f t="shared" si="33"/>
        <v>36437</v>
      </c>
      <c r="AH37" s="17">
        <f t="shared" si="33"/>
        <v>33504</v>
      </c>
      <c r="AI37" s="17">
        <f t="shared" si="33"/>
        <v>28376</v>
      </c>
    </row>
    <row r="38" spans="2:35" ht="15" thickBot="1">
      <c r="B38" s="10"/>
      <c r="C38" s="12"/>
      <c r="D38" s="12"/>
      <c r="E38" s="12"/>
      <c r="F38" s="12"/>
      <c r="G38" s="12"/>
      <c r="I38" s="16">
        <f t="shared" si="15"/>
        <v>34</v>
      </c>
      <c r="J38" s="17">
        <f t="shared" si="27"/>
        <v>35694</v>
      </c>
      <c r="K38" s="17">
        <f t="shared" si="28"/>
        <v>32425</v>
      </c>
      <c r="L38" s="17">
        <f t="shared" si="29"/>
        <v>28904</v>
      </c>
      <c r="M38" s="17">
        <f t="shared" si="30"/>
        <v>23481</v>
      </c>
      <c r="N38" s="17">
        <f t="shared" si="31"/>
        <v>18638</v>
      </c>
      <c r="P38" s="16">
        <f t="shared" si="25"/>
        <v>34</v>
      </c>
      <c r="Q38" s="17">
        <f t="shared" si="34"/>
        <v>30697</v>
      </c>
      <c r="R38" s="17">
        <f t="shared" si="32"/>
        <v>27885</v>
      </c>
      <c r="S38" s="17">
        <f t="shared" si="32"/>
        <v>24857</v>
      </c>
      <c r="T38" s="17">
        <f t="shared" si="32"/>
        <v>20193</v>
      </c>
      <c r="U38" s="17">
        <f t="shared" si="32"/>
        <v>16028</v>
      </c>
      <c r="X38" s="15"/>
      <c r="AD38" s="16">
        <f t="shared" si="26"/>
        <v>34</v>
      </c>
      <c r="AE38" s="17">
        <f t="shared" si="35"/>
        <v>48694</v>
      </c>
      <c r="AF38" s="17">
        <f t="shared" si="33"/>
        <v>45411</v>
      </c>
      <c r="AG38" s="17">
        <f t="shared" si="33"/>
        <v>36437</v>
      </c>
      <c r="AH38" s="17">
        <f t="shared" si="33"/>
        <v>33504</v>
      </c>
      <c r="AI38" s="17">
        <f t="shared" si="33"/>
        <v>28376</v>
      </c>
    </row>
    <row r="39" spans="2:35" ht="15" thickBot="1">
      <c r="B39" s="8" t="s">
        <v>22</v>
      </c>
      <c r="C39" s="9">
        <v>40000</v>
      </c>
      <c r="D39" s="9">
        <v>30000</v>
      </c>
      <c r="E39" s="9">
        <v>20000</v>
      </c>
      <c r="F39" s="9">
        <v>10000</v>
      </c>
      <c r="G39" s="9">
        <v>7500</v>
      </c>
      <c r="I39" s="16">
        <f t="shared" si="15"/>
        <v>35</v>
      </c>
      <c r="J39" s="17">
        <f t="shared" si="27"/>
        <v>35694</v>
      </c>
      <c r="K39" s="17">
        <f t="shared" si="28"/>
        <v>32425</v>
      </c>
      <c r="L39" s="17">
        <f t="shared" si="29"/>
        <v>28904</v>
      </c>
      <c r="M39" s="17">
        <f t="shared" si="30"/>
        <v>23481</v>
      </c>
      <c r="N39" s="17">
        <f t="shared" si="31"/>
        <v>18638</v>
      </c>
      <c r="P39" s="16">
        <f t="shared" si="25"/>
        <v>35</v>
      </c>
      <c r="Q39" s="17">
        <f t="shared" si="34"/>
        <v>30697</v>
      </c>
      <c r="R39" s="17">
        <f t="shared" si="32"/>
        <v>27885</v>
      </c>
      <c r="S39" s="17">
        <f t="shared" si="32"/>
        <v>24857</v>
      </c>
      <c r="T39" s="17">
        <f t="shared" si="32"/>
        <v>20193</v>
      </c>
      <c r="U39" s="17">
        <f t="shared" si="32"/>
        <v>16028</v>
      </c>
      <c r="X39" s="15"/>
      <c r="AD39" s="16">
        <f t="shared" si="26"/>
        <v>35</v>
      </c>
      <c r="AE39" s="17">
        <f t="shared" si="35"/>
        <v>48694</v>
      </c>
      <c r="AF39" s="17">
        <f t="shared" si="33"/>
        <v>45411</v>
      </c>
      <c r="AG39" s="17">
        <f t="shared" si="33"/>
        <v>36437</v>
      </c>
      <c r="AH39" s="17">
        <f t="shared" si="33"/>
        <v>33504</v>
      </c>
      <c r="AI39" s="17">
        <f t="shared" si="33"/>
        <v>28376</v>
      </c>
    </row>
    <row r="40" spans="2:35">
      <c r="B40" s="13" t="s">
        <v>15</v>
      </c>
      <c r="C40" s="14">
        <v>16182</v>
      </c>
      <c r="D40" s="14">
        <v>9102</v>
      </c>
      <c r="E40" s="14">
        <v>6068</v>
      </c>
      <c r="F40" s="14">
        <v>3034</v>
      </c>
      <c r="G40" s="14">
        <v>2276</v>
      </c>
      <c r="I40" s="16">
        <f t="shared" si="15"/>
        <v>36</v>
      </c>
      <c r="J40" s="17">
        <f t="shared" si="27"/>
        <v>35694</v>
      </c>
      <c r="K40" s="17">
        <f t="shared" si="28"/>
        <v>32425</v>
      </c>
      <c r="L40" s="17">
        <f t="shared" si="29"/>
        <v>28904</v>
      </c>
      <c r="M40" s="17">
        <f t="shared" si="30"/>
        <v>23481</v>
      </c>
      <c r="N40" s="17">
        <f t="shared" si="31"/>
        <v>18638</v>
      </c>
      <c r="P40" s="16">
        <f t="shared" si="25"/>
        <v>36</v>
      </c>
      <c r="Q40" s="17">
        <f t="shared" si="34"/>
        <v>30697</v>
      </c>
      <c r="R40" s="17">
        <f t="shared" si="32"/>
        <v>27885</v>
      </c>
      <c r="S40" s="17">
        <f t="shared" si="32"/>
        <v>24857</v>
      </c>
      <c r="T40" s="17">
        <f t="shared" si="32"/>
        <v>20193</v>
      </c>
      <c r="U40" s="17">
        <f t="shared" si="32"/>
        <v>16028</v>
      </c>
      <c r="X40" s="15"/>
      <c r="AD40" s="16">
        <f t="shared" si="26"/>
        <v>36</v>
      </c>
      <c r="AE40" s="17">
        <f t="shared" si="35"/>
        <v>48694</v>
      </c>
      <c r="AF40" s="17">
        <f t="shared" si="33"/>
        <v>45411</v>
      </c>
      <c r="AG40" s="17">
        <f t="shared" si="33"/>
        <v>36437</v>
      </c>
      <c r="AH40" s="17">
        <f t="shared" si="33"/>
        <v>33504</v>
      </c>
      <c r="AI40" s="17">
        <f t="shared" si="33"/>
        <v>28376</v>
      </c>
    </row>
    <row r="41" spans="2:35">
      <c r="B41" s="82" t="s">
        <v>23</v>
      </c>
      <c r="C41" s="83"/>
      <c r="D41" s="83"/>
      <c r="E41" s="83"/>
      <c r="F41" s="83"/>
      <c r="G41" s="84"/>
      <c r="I41" s="16">
        <f>I40+1</f>
        <v>37</v>
      </c>
      <c r="J41" s="17">
        <f t="shared" si="27"/>
        <v>35694</v>
      </c>
      <c r="K41" s="17">
        <f t="shared" si="28"/>
        <v>32425</v>
      </c>
      <c r="L41" s="17">
        <f t="shared" si="29"/>
        <v>28904</v>
      </c>
      <c r="M41" s="17">
        <f t="shared" si="30"/>
        <v>23481</v>
      </c>
      <c r="N41" s="17">
        <f t="shared" si="31"/>
        <v>18638</v>
      </c>
      <c r="P41" s="16">
        <f>P40+1</f>
        <v>37</v>
      </c>
      <c r="Q41" s="17">
        <f t="shared" si="34"/>
        <v>30697</v>
      </c>
      <c r="R41" s="17">
        <f t="shared" si="32"/>
        <v>27885</v>
      </c>
      <c r="S41" s="17">
        <f t="shared" si="32"/>
        <v>24857</v>
      </c>
      <c r="T41" s="17">
        <f t="shared" si="32"/>
        <v>20193</v>
      </c>
      <c r="U41" s="17">
        <f t="shared" si="32"/>
        <v>16028</v>
      </c>
      <c r="X41" s="15"/>
      <c r="AD41" s="16">
        <f>AD40+1</f>
        <v>37</v>
      </c>
      <c r="AE41" s="17">
        <f t="shared" si="35"/>
        <v>48694</v>
      </c>
      <c r="AF41" s="17">
        <f t="shared" si="33"/>
        <v>45411</v>
      </c>
      <c r="AG41" s="17">
        <f t="shared" si="33"/>
        <v>36437</v>
      </c>
      <c r="AH41" s="17">
        <f t="shared" si="33"/>
        <v>33504</v>
      </c>
      <c r="AI41" s="17">
        <f t="shared" si="33"/>
        <v>28376</v>
      </c>
    </row>
    <row r="42" spans="2:35">
      <c r="B42" s="85" t="s">
        <v>24</v>
      </c>
      <c r="C42" s="86"/>
      <c r="D42" s="86"/>
      <c r="E42" s="86"/>
      <c r="F42" s="86"/>
      <c r="G42" s="87"/>
      <c r="I42" s="16">
        <f t="shared" si="15"/>
        <v>38</v>
      </c>
      <c r="J42" s="17">
        <f t="shared" si="27"/>
        <v>35694</v>
      </c>
      <c r="K42" s="17">
        <f t="shared" si="28"/>
        <v>32425</v>
      </c>
      <c r="L42" s="17">
        <f t="shared" si="29"/>
        <v>28904</v>
      </c>
      <c r="M42" s="17">
        <f t="shared" si="30"/>
        <v>23481</v>
      </c>
      <c r="N42" s="17">
        <f t="shared" si="31"/>
        <v>18638</v>
      </c>
      <c r="P42" s="16">
        <f t="shared" ref="P42:P47" si="36">P41+1</f>
        <v>38</v>
      </c>
      <c r="Q42" s="17">
        <f t="shared" si="34"/>
        <v>30697</v>
      </c>
      <c r="R42" s="17">
        <f t="shared" si="32"/>
        <v>27885</v>
      </c>
      <c r="S42" s="17">
        <f t="shared" si="32"/>
        <v>24857</v>
      </c>
      <c r="T42" s="17">
        <f t="shared" si="32"/>
        <v>20193</v>
      </c>
      <c r="U42" s="17">
        <f t="shared" si="32"/>
        <v>16028</v>
      </c>
      <c r="X42" s="15"/>
      <c r="AD42" s="16">
        <f t="shared" ref="AD42:AD47" si="37">AD41+1</f>
        <v>38</v>
      </c>
      <c r="AE42" s="17">
        <f t="shared" si="35"/>
        <v>48694</v>
      </c>
      <c r="AF42" s="17">
        <f t="shared" si="33"/>
        <v>45411</v>
      </c>
      <c r="AG42" s="17">
        <f t="shared" si="33"/>
        <v>36437</v>
      </c>
      <c r="AH42" s="17">
        <f t="shared" si="33"/>
        <v>33504</v>
      </c>
      <c r="AI42" s="17">
        <f t="shared" si="33"/>
        <v>28376</v>
      </c>
    </row>
    <row r="43" spans="2:35">
      <c r="I43" s="16">
        <f t="shared" si="15"/>
        <v>39</v>
      </c>
      <c r="J43" s="17">
        <f t="shared" si="27"/>
        <v>35694</v>
      </c>
      <c r="K43" s="17">
        <f t="shared" si="28"/>
        <v>32425</v>
      </c>
      <c r="L43" s="17">
        <f t="shared" si="29"/>
        <v>28904</v>
      </c>
      <c r="M43" s="17">
        <f t="shared" si="30"/>
        <v>23481</v>
      </c>
      <c r="N43" s="17">
        <f t="shared" si="31"/>
        <v>18638</v>
      </c>
      <c r="P43" s="16">
        <f t="shared" si="36"/>
        <v>39</v>
      </c>
      <c r="Q43" s="17">
        <f t="shared" si="34"/>
        <v>30697</v>
      </c>
      <c r="R43" s="17">
        <f t="shared" si="32"/>
        <v>27885</v>
      </c>
      <c r="S43" s="17">
        <f t="shared" si="32"/>
        <v>24857</v>
      </c>
      <c r="T43" s="17">
        <f t="shared" si="32"/>
        <v>20193</v>
      </c>
      <c r="U43" s="17">
        <f t="shared" si="32"/>
        <v>16028</v>
      </c>
      <c r="X43" s="15"/>
      <c r="AD43" s="16">
        <f t="shared" si="37"/>
        <v>39</v>
      </c>
      <c r="AE43" s="17">
        <f t="shared" si="35"/>
        <v>48694</v>
      </c>
      <c r="AF43" s="17">
        <f t="shared" si="33"/>
        <v>45411</v>
      </c>
      <c r="AG43" s="17">
        <f t="shared" si="33"/>
        <v>36437</v>
      </c>
      <c r="AH43" s="17">
        <f t="shared" si="33"/>
        <v>33504</v>
      </c>
      <c r="AI43" s="17">
        <f t="shared" si="33"/>
        <v>28376</v>
      </c>
    </row>
    <row r="44" spans="2:35">
      <c r="B44" t="s">
        <v>42</v>
      </c>
      <c r="D44" s="16"/>
      <c r="E44" s="16" t="s">
        <v>25</v>
      </c>
      <c r="F44" s="16"/>
      <c r="G44" s="16" t="s">
        <v>26</v>
      </c>
      <c r="I44" s="16">
        <f t="shared" si="15"/>
        <v>40</v>
      </c>
      <c r="J44" s="17">
        <f t="shared" si="27"/>
        <v>35694</v>
      </c>
      <c r="K44" s="17">
        <f t="shared" si="28"/>
        <v>32425</v>
      </c>
      <c r="L44" s="17">
        <f t="shared" si="29"/>
        <v>28904</v>
      </c>
      <c r="M44" s="17">
        <f t="shared" si="30"/>
        <v>23481</v>
      </c>
      <c r="N44" s="17">
        <f t="shared" si="31"/>
        <v>18638</v>
      </c>
      <c r="P44" s="16">
        <f t="shared" si="36"/>
        <v>40</v>
      </c>
      <c r="Q44" s="17">
        <f t="shared" si="34"/>
        <v>30697</v>
      </c>
      <c r="R44" s="17">
        <f t="shared" si="32"/>
        <v>27885</v>
      </c>
      <c r="S44" s="17">
        <f t="shared" si="32"/>
        <v>24857</v>
      </c>
      <c r="T44" s="17">
        <f t="shared" si="32"/>
        <v>20193</v>
      </c>
      <c r="U44" s="17">
        <f t="shared" si="32"/>
        <v>16028</v>
      </c>
      <c r="X44" s="15"/>
      <c r="AD44" s="16">
        <f t="shared" si="37"/>
        <v>40</v>
      </c>
      <c r="AE44" s="17">
        <f t="shared" si="35"/>
        <v>48694</v>
      </c>
      <c r="AF44" s="17">
        <f t="shared" si="33"/>
        <v>45411</v>
      </c>
      <c r="AG44" s="17">
        <f t="shared" si="33"/>
        <v>36437</v>
      </c>
      <c r="AH44" s="17">
        <f t="shared" si="33"/>
        <v>33504</v>
      </c>
      <c r="AI44" s="17">
        <f t="shared" si="33"/>
        <v>28376</v>
      </c>
    </row>
    <row r="45" spans="2:35">
      <c r="B45" t="s">
        <v>41</v>
      </c>
      <c r="D45" s="16" t="s">
        <v>27</v>
      </c>
      <c r="E45" s="17">
        <v>2731</v>
      </c>
      <c r="F45" s="16"/>
      <c r="G45" s="17">
        <v>2048</v>
      </c>
      <c r="I45" s="16">
        <f t="shared" si="15"/>
        <v>41</v>
      </c>
      <c r="J45" s="17">
        <f t="shared" ref="J45:J54" si="38">C$17</f>
        <v>42923</v>
      </c>
      <c r="K45" s="17">
        <f t="shared" ref="K45:K54" si="39">D$17</f>
        <v>38991</v>
      </c>
      <c r="L45" s="17">
        <f t="shared" ref="L45:L54" si="40">E$17</f>
        <v>34757</v>
      </c>
      <c r="M45" s="17">
        <f t="shared" ref="M45:M54" si="41">F$17</f>
        <v>28236</v>
      </c>
      <c r="N45" s="17">
        <f t="shared" ref="N45:N54" si="42">G$17</f>
        <v>22412</v>
      </c>
      <c r="P45" s="16">
        <f t="shared" si="36"/>
        <v>41</v>
      </c>
      <c r="Q45" s="17">
        <f>C$18</f>
        <v>36913</v>
      </c>
      <c r="R45" s="17">
        <f t="shared" ref="R45:U54" si="43">D$18</f>
        <v>33532</v>
      </c>
      <c r="S45" s="17">
        <f t="shared" si="43"/>
        <v>29891</v>
      </c>
      <c r="T45" s="17">
        <f t="shared" si="43"/>
        <v>24283</v>
      </c>
      <c r="U45" s="17">
        <f t="shared" si="43"/>
        <v>19274</v>
      </c>
      <c r="X45" s="15"/>
      <c r="AD45" s="16">
        <f t="shared" si="37"/>
        <v>41</v>
      </c>
      <c r="AE45" s="17">
        <f>C$30</f>
        <v>58432</v>
      </c>
      <c r="AF45" s="17">
        <f t="shared" ref="AF45:AI54" si="44">D$30</f>
        <v>54493</v>
      </c>
      <c r="AG45" s="17">
        <f t="shared" si="44"/>
        <v>43724</v>
      </c>
      <c r="AH45" s="17">
        <f t="shared" si="44"/>
        <v>40204</v>
      </c>
      <c r="AI45" s="17">
        <f t="shared" si="44"/>
        <v>34052</v>
      </c>
    </row>
    <row r="46" spans="2:35">
      <c r="D46" s="16" t="s">
        <v>28</v>
      </c>
      <c r="E46" s="17">
        <v>3034</v>
      </c>
      <c r="F46" s="16"/>
      <c r="G46" s="17">
        <v>2276</v>
      </c>
      <c r="I46" s="16">
        <f t="shared" si="15"/>
        <v>42</v>
      </c>
      <c r="J46" s="17">
        <f t="shared" si="38"/>
        <v>42923</v>
      </c>
      <c r="K46" s="17">
        <f t="shared" si="39"/>
        <v>38991</v>
      </c>
      <c r="L46" s="17">
        <f t="shared" si="40"/>
        <v>34757</v>
      </c>
      <c r="M46" s="17">
        <f t="shared" si="41"/>
        <v>28236</v>
      </c>
      <c r="N46" s="17">
        <f t="shared" si="42"/>
        <v>22412</v>
      </c>
      <c r="P46" s="16">
        <f t="shared" si="36"/>
        <v>42</v>
      </c>
      <c r="Q46" s="17">
        <f t="shared" ref="Q46:Q54" si="45">C$18</f>
        <v>36913</v>
      </c>
      <c r="R46" s="17">
        <f t="shared" si="43"/>
        <v>33532</v>
      </c>
      <c r="S46" s="17">
        <f t="shared" si="43"/>
        <v>29891</v>
      </c>
      <c r="T46" s="17">
        <f t="shared" si="43"/>
        <v>24283</v>
      </c>
      <c r="U46" s="17">
        <f t="shared" si="43"/>
        <v>19274</v>
      </c>
      <c r="X46" s="15"/>
      <c r="AD46" s="16">
        <f t="shared" si="37"/>
        <v>42</v>
      </c>
      <c r="AE46" s="17">
        <f t="shared" ref="AE46:AE54" si="46">C$30</f>
        <v>58432</v>
      </c>
      <c r="AF46" s="17">
        <f t="shared" si="44"/>
        <v>54493</v>
      </c>
      <c r="AG46" s="17">
        <f t="shared" si="44"/>
        <v>43724</v>
      </c>
      <c r="AH46" s="17">
        <f t="shared" si="44"/>
        <v>40204</v>
      </c>
      <c r="AI46" s="17">
        <f t="shared" si="44"/>
        <v>34052</v>
      </c>
    </row>
    <row r="47" spans="2:35">
      <c r="E47" s="15"/>
      <c r="G47" s="15"/>
      <c r="I47" s="16">
        <f t="shared" si="15"/>
        <v>43</v>
      </c>
      <c r="J47" s="17">
        <f t="shared" si="38"/>
        <v>42923</v>
      </c>
      <c r="K47" s="17">
        <f t="shared" si="39"/>
        <v>38991</v>
      </c>
      <c r="L47" s="17">
        <f t="shared" si="40"/>
        <v>34757</v>
      </c>
      <c r="M47" s="17">
        <f t="shared" si="41"/>
        <v>28236</v>
      </c>
      <c r="N47" s="17">
        <f t="shared" si="42"/>
        <v>22412</v>
      </c>
      <c r="P47" s="16">
        <f t="shared" si="36"/>
        <v>43</v>
      </c>
      <c r="Q47" s="17">
        <f t="shared" si="45"/>
        <v>36913</v>
      </c>
      <c r="R47" s="17">
        <f t="shared" si="43"/>
        <v>33532</v>
      </c>
      <c r="S47" s="17">
        <f t="shared" si="43"/>
        <v>29891</v>
      </c>
      <c r="T47" s="17">
        <f t="shared" si="43"/>
        <v>24283</v>
      </c>
      <c r="U47" s="17">
        <f t="shared" si="43"/>
        <v>19274</v>
      </c>
      <c r="X47" s="15"/>
      <c r="AD47" s="16">
        <f t="shared" si="37"/>
        <v>43</v>
      </c>
      <c r="AE47" s="17">
        <f t="shared" si="46"/>
        <v>58432</v>
      </c>
      <c r="AF47" s="17">
        <f t="shared" si="44"/>
        <v>54493</v>
      </c>
      <c r="AG47" s="17">
        <f t="shared" si="44"/>
        <v>43724</v>
      </c>
      <c r="AH47" s="17">
        <f t="shared" si="44"/>
        <v>40204</v>
      </c>
      <c r="AI47" s="17">
        <f t="shared" si="44"/>
        <v>34052</v>
      </c>
    </row>
    <row r="48" spans="2:35">
      <c r="I48" s="16">
        <f>I47+1</f>
        <v>44</v>
      </c>
      <c r="J48" s="17">
        <f t="shared" si="38"/>
        <v>42923</v>
      </c>
      <c r="K48" s="17">
        <f t="shared" si="39"/>
        <v>38991</v>
      </c>
      <c r="L48" s="17">
        <f t="shared" si="40"/>
        <v>34757</v>
      </c>
      <c r="M48" s="17">
        <f t="shared" si="41"/>
        <v>28236</v>
      </c>
      <c r="N48" s="17">
        <f t="shared" si="42"/>
        <v>22412</v>
      </c>
      <c r="P48" s="16">
        <f>P47+1</f>
        <v>44</v>
      </c>
      <c r="Q48" s="17">
        <f t="shared" si="45"/>
        <v>36913</v>
      </c>
      <c r="R48" s="17">
        <f t="shared" si="43"/>
        <v>33532</v>
      </c>
      <c r="S48" s="17">
        <f t="shared" si="43"/>
        <v>29891</v>
      </c>
      <c r="T48" s="17">
        <f t="shared" si="43"/>
        <v>24283</v>
      </c>
      <c r="U48" s="17">
        <f t="shared" si="43"/>
        <v>19274</v>
      </c>
      <c r="X48" s="15"/>
      <c r="AD48" s="16">
        <f>AD47+1</f>
        <v>44</v>
      </c>
      <c r="AE48" s="17">
        <f t="shared" si="46"/>
        <v>58432</v>
      </c>
      <c r="AF48" s="17">
        <f t="shared" si="44"/>
        <v>54493</v>
      </c>
      <c r="AG48" s="17">
        <f t="shared" si="44"/>
        <v>43724</v>
      </c>
      <c r="AH48" s="17">
        <f t="shared" si="44"/>
        <v>40204</v>
      </c>
      <c r="AI48" s="17">
        <f t="shared" si="44"/>
        <v>34052</v>
      </c>
    </row>
    <row r="49" spans="9:35">
      <c r="I49" s="16">
        <f t="shared" si="15"/>
        <v>45</v>
      </c>
      <c r="J49" s="17">
        <f t="shared" si="38"/>
        <v>42923</v>
      </c>
      <c r="K49" s="17">
        <f t="shared" si="39"/>
        <v>38991</v>
      </c>
      <c r="L49" s="17">
        <f t="shared" si="40"/>
        <v>34757</v>
      </c>
      <c r="M49" s="17">
        <f t="shared" si="41"/>
        <v>28236</v>
      </c>
      <c r="N49" s="17">
        <f t="shared" si="42"/>
        <v>22412</v>
      </c>
      <c r="P49" s="16">
        <f t="shared" ref="P49:P60" si="47">P48+1</f>
        <v>45</v>
      </c>
      <c r="Q49" s="17">
        <f t="shared" si="45"/>
        <v>36913</v>
      </c>
      <c r="R49" s="17">
        <f t="shared" si="43"/>
        <v>33532</v>
      </c>
      <c r="S49" s="17">
        <f t="shared" si="43"/>
        <v>29891</v>
      </c>
      <c r="T49" s="17">
        <f t="shared" si="43"/>
        <v>24283</v>
      </c>
      <c r="U49" s="17">
        <f t="shared" si="43"/>
        <v>19274</v>
      </c>
      <c r="X49" s="15"/>
      <c r="AD49" s="16">
        <f t="shared" ref="AD49:AD60" si="48">AD48+1</f>
        <v>45</v>
      </c>
      <c r="AE49" s="17">
        <f t="shared" si="46"/>
        <v>58432</v>
      </c>
      <c r="AF49" s="17">
        <f t="shared" si="44"/>
        <v>54493</v>
      </c>
      <c r="AG49" s="17">
        <f t="shared" si="44"/>
        <v>43724</v>
      </c>
      <c r="AH49" s="17">
        <f t="shared" si="44"/>
        <v>40204</v>
      </c>
      <c r="AI49" s="17">
        <f t="shared" si="44"/>
        <v>34052</v>
      </c>
    </row>
    <row r="50" spans="9:35">
      <c r="I50" s="16">
        <f t="shared" si="15"/>
        <v>46</v>
      </c>
      <c r="J50" s="17">
        <f t="shared" si="38"/>
        <v>42923</v>
      </c>
      <c r="K50" s="17">
        <f t="shared" si="39"/>
        <v>38991</v>
      </c>
      <c r="L50" s="17">
        <f t="shared" si="40"/>
        <v>34757</v>
      </c>
      <c r="M50" s="17">
        <f t="shared" si="41"/>
        <v>28236</v>
      </c>
      <c r="N50" s="17">
        <f t="shared" si="42"/>
        <v>22412</v>
      </c>
      <c r="P50" s="16">
        <f t="shared" si="47"/>
        <v>46</v>
      </c>
      <c r="Q50" s="17">
        <f t="shared" si="45"/>
        <v>36913</v>
      </c>
      <c r="R50" s="17">
        <f t="shared" si="43"/>
        <v>33532</v>
      </c>
      <c r="S50" s="17">
        <f t="shared" si="43"/>
        <v>29891</v>
      </c>
      <c r="T50" s="17">
        <f t="shared" si="43"/>
        <v>24283</v>
      </c>
      <c r="U50" s="17">
        <f t="shared" si="43"/>
        <v>19274</v>
      </c>
      <c r="X50" s="15"/>
      <c r="AD50" s="16">
        <f t="shared" si="48"/>
        <v>46</v>
      </c>
      <c r="AE50" s="17">
        <f t="shared" si="46"/>
        <v>58432</v>
      </c>
      <c r="AF50" s="17">
        <f t="shared" si="44"/>
        <v>54493</v>
      </c>
      <c r="AG50" s="17">
        <f t="shared" si="44"/>
        <v>43724</v>
      </c>
      <c r="AH50" s="17">
        <f t="shared" si="44"/>
        <v>40204</v>
      </c>
      <c r="AI50" s="17">
        <f t="shared" si="44"/>
        <v>34052</v>
      </c>
    </row>
    <row r="51" spans="9:35">
      <c r="I51" s="16">
        <f t="shared" si="15"/>
        <v>47</v>
      </c>
      <c r="J51" s="17">
        <f t="shared" si="38"/>
        <v>42923</v>
      </c>
      <c r="K51" s="17">
        <f t="shared" si="39"/>
        <v>38991</v>
      </c>
      <c r="L51" s="17">
        <f t="shared" si="40"/>
        <v>34757</v>
      </c>
      <c r="M51" s="17">
        <f t="shared" si="41"/>
        <v>28236</v>
      </c>
      <c r="N51" s="17">
        <f t="shared" si="42"/>
        <v>22412</v>
      </c>
      <c r="P51" s="16">
        <f t="shared" si="47"/>
        <v>47</v>
      </c>
      <c r="Q51" s="17">
        <f t="shared" si="45"/>
        <v>36913</v>
      </c>
      <c r="R51" s="17">
        <f t="shared" si="43"/>
        <v>33532</v>
      </c>
      <c r="S51" s="17">
        <f t="shared" si="43"/>
        <v>29891</v>
      </c>
      <c r="T51" s="17">
        <f t="shared" si="43"/>
        <v>24283</v>
      </c>
      <c r="U51" s="17">
        <f t="shared" si="43"/>
        <v>19274</v>
      </c>
      <c r="X51" s="15"/>
      <c r="AD51" s="16">
        <f t="shared" si="48"/>
        <v>47</v>
      </c>
      <c r="AE51" s="17">
        <f t="shared" si="46"/>
        <v>58432</v>
      </c>
      <c r="AF51" s="17">
        <f t="shared" si="44"/>
        <v>54493</v>
      </c>
      <c r="AG51" s="17">
        <f t="shared" si="44"/>
        <v>43724</v>
      </c>
      <c r="AH51" s="17">
        <f t="shared" si="44"/>
        <v>40204</v>
      </c>
      <c r="AI51" s="17">
        <f t="shared" si="44"/>
        <v>34052</v>
      </c>
    </row>
    <row r="52" spans="9:35">
      <c r="I52" s="16">
        <f t="shared" si="15"/>
        <v>48</v>
      </c>
      <c r="J52" s="17">
        <f t="shared" si="38"/>
        <v>42923</v>
      </c>
      <c r="K52" s="17">
        <f t="shared" si="39"/>
        <v>38991</v>
      </c>
      <c r="L52" s="17">
        <f t="shared" si="40"/>
        <v>34757</v>
      </c>
      <c r="M52" s="17">
        <f t="shared" si="41"/>
        <v>28236</v>
      </c>
      <c r="N52" s="17">
        <f t="shared" si="42"/>
        <v>22412</v>
      </c>
      <c r="P52" s="16">
        <f t="shared" si="47"/>
        <v>48</v>
      </c>
      <c r="Q52" s="17">
        <f t="shared" si="45"/>
        <v>36913</v>
      </c>
      <c r="R52" s="17">
        <f t="shared" si="43"/>
        <v>33532</v>
      </c>
      <c r="S52" s="17">
        <f t="shared" si="43"/>
        <v>29891</v>
      </c>
      <c r="T52" s="17">
        <f t="shared" si="43"/>
        <v>24283</v>
      </c>
      <c r="U52" s="17">
        <f t="shared" si="43"/>
        <v>19274</v>
      </c>
      <c r="X52" s="15"/>
      <c r="AD52" s="16">
        <f t="shared" si="48"/>
        <v>48</v>
      </c>
      <c r="AE52" s="17">
        <f t="shared" si="46"/>
        <v>58432</v>
      </c>
      <c r="AF52" s="17">
        <f t="shared" si="44"/>
        <v>54493</v>
      </c>
      <c r="AG52" s="17">
        <f t="shared" si="44"/>
        <v>43724</v>
      </c>
      <c r="AH52" s="17">
        <f t="shared" si="44"/>
        <v>40204</v>
      </c>
      <c r="AI52" s="17">
        <f t="shared" si="44"/>
        <v>34052</v>
      </c>
    </row>
    <row r="53" spans="9:35">
      <c r="I53" s="16">
        <f t="shared" si="15"/>
        <v>49</v>
      </c>
      <c r="J53" s="17">
        <f t="shared" si="38"/>
        <v>42923</v>
      </c>
      <c r="K53" s="17">
        <f t="shared" si="39"/>
        <v>38991</v>
      </c>
      <c r="L53" s="17">
        <f t="shared" si="40"/>
        <v>34757</v>
      </c>
      <c r="M53" s="17">
        <f t="shared" si="41"/>
        <v>28236</v>
      </c>
      <c r="N53" s="17">
        <f t="shared" si="42"/>
        <v>22412</v>
      </c>
      <c r="P53" s="16">
        <f t="shared" si="47"/>
        <v>49</v>
      </c>
      <c r="Q53" s="17">
        <f t="shared" si="45"/>
        <v>36913</v>
      </c>
      <c r="R53" s="17">
        <f t="shared" si="43"/>
        <v>33532</v>
      </c>
      <c r="S53" s="17">
        <f t="shared" si="43"/>
        <v>29891</v>
      </c>
      <c r="T53" s="17">
        <f t="shared" si="43"/>
        <v>24283</v>
      </c>
      <c r="U53" s="17">
        <f t="shared" si="43"/>
        <v>19274</v>
      </c>
      <c r="X53" s="15"/>
      <c r="AD53" s="16">
        <f t="shared" si="48"/>
        <v>49</v>
      </c>
      <c r="AE53" s="17">
        <f t="shared" si="46"/>
        <v>58432</v>
      </c>
      <c r="AF53" s="17">
        <f t="shared" si="44"/>
        <v>54493</v>
      </c>
      <c r="AG53" s="17">
        <f t="shared" si="44"/>
        <v>43724</v>
      </c>
      <c r="AH53" s="17">
        <f t="shared" si="44"/>
        <v>40204</v>
      </c>
      <c r="AI53" s="17">
        <f t="shared" si="44"/>
        <v>34052</v>
      </c>
    </row>
    <row r="54" spans="9:35">
      <c r="I54" s="16">
        <f t="shared" si="15"/>
        <v>50</v>
      </c>
      <c r="J54" s="17">
        <f t="shared" si="38"/>
        <v>42923</v>
      </c>
      <c r="K54" s="17">
        <f t="shared" si="39"/>
        <v>38991</v>
      </c>
      <c r="L54" s="17">
        <f t="shared" si="40"/>
        <v>34757</v>
      </c>
      <c r="M54" s="17">
        <f t="shared" si="41"/>
        <v>28236</v>
      </c>
      <c r="N54" s="17">
        <f t="shared" si="42"/>
        <v>22412</v>
      </c>
      <c r="P54" s="16">
        <f t="shared" si="47"/>
        <v>50</v>
      </c>
      <c r="Q54" s="17">
        <f t="shared" si="45"/>
        <v>36913</v>
      </c>
      <c r="R54" s="17">
        <f t="shared" si="43"/>
        <v>33532</v>
      </c>
      <c r="S54" s="17">
        <f t="shared" si="43"/>
        <v>29891</v>
      </c>
      <c r="T54" s="17">
        <f t="shared" si="43"/>
        <v>24283</v>
      </c>
      <c r="U54" s="17">
        <f t="shared" si="43"/>
        <v>19274</v>
      </c>
      <c r="X54" s="15"/>
      <c r="AD54" s="16">
        <f t="shared" si="48"/>
        <v>50</v>
      </c>
      <c r="AE54" s="17">
        <f t="shared" si="46"/>
        <v>58432</v>
      </c>
      <c r="AF54" s="17">
        <f t="shared" si="44"/>
        <v>54493</v>
      </c>
      <c r="AG54" s="17">
        <f t="shared" si="44"/>
        <v>43724</v>
      </c>
      <c r="AH54" s="17">
        <f t="shared" si="44"/>
        <v>40204</v>
      </c>
      <c r="AI54" s="17">
        <f t="shared" si="44"/>
        <v>34052</v>
      </c>
    </row>
    <row r="55" spans="9:35">
      <c r="I55" s="16">
        <f t="shared" si="15"/>
        <v>51</v>
      </c>
      <c r="J55" s="17">
        <f>C$22</f>
        <v>46904</v>
      </c>
      <c r="K55" s="17">
        <f t="shared" ref="K55:N69" si="49">D$22</f>
        <v>42608</v>
      </c>
      <c r="L55" s="17">
        <f t="shared" si="49"/>
        <v>37982</v>
      </c>
      <c r="M55" s="17">
        <f t="shared" si="49"/>
        <v>30855</v>
      </c>
      <c r="N55" s="17">
        <f t="shared" si="49"/>
        <v>24491</v>
      </c>
      <c r="P55" s="16">
        <f t="shared" si="47"/>
        <v>51</v>
      </c>
      <c r="Q55" s="17">
        <f>C$23</f>
        <v>40337</v>
      </c>
      <c r="R55" s="17">
        <f t="shared" ref="R55:U69" si="50">D$23</f>
        <v>36642</v>
      </c>
      <c r="S55" s="17">
        <f t="shared" si="50"/>
        <v>32664</v>
      </c>
      <c r="T55" s="17">
        <f t="shared" si="50"/>
        <v>26535</v>
      </c>
      <c r="U55" s="17">
        <f t="shared" si="50"/>
        <v>21062</v>
      </c>
      <c r="X55" s="15"/>
      <c r="AD55" s="16">
        <f t="shared" si="48"/>
        <v>51</v>
      </c>
      <c r="AE55" s="17">
        <f>C$31</f>
        <v>68171</v>
      </c>
      <c r="AF55" s="17">
        <f t="shared" ref="AF55:AI69" si="51">D$31</f>
        <v>63575</v>
      </c>
      <c r="AG55" s="17">
        <f t="shared" si="51"/>
        <v>51012</v>
      </c>
      <c r="AH55" s="17">
        <f t="shared" si="51"/>
        <v>46905</v>
      </c>
      <c r="AI55" s="17">
        <f t="shared" si="51"/>
        <v>39727</v>
      </c>
    </row>
    <row r="56" spans="9:35">
      <c r="I56" s="16">
        <f t="shared" si="15"/>
        <v>52</v>
      </c>
      <c r="J56" s="17">
        <f t="shared" ref="J56:J69" si="52">C$22</f>
        <v>46904</v>
      </c>
      <c r="K56" s="17">
        <f t="shared" si="49"/>
        <v>42608</v>
      </c>
      <c r="L56" s="17">
        <f t="shared" si="49"/>
        <v>37982</v>
      </c>
      <c r="M56" s="17">
        <f t="shared" si="49"/>
        <v>30855</v>
      </c>
      <c r="N56" s="17">
        <f t="shared" si="49"/>
        <v>24491</v>
      </c>
      <c r="P56" s="16">
        <f t="shared" si="47"/>
        <v>52</v>
      </c>
      <c r="Q56" s="17">
        <f t="shared" ref="Q56:Q69" si="53">C$23</f>
        <v>40337</v>
      </c>
      <c r="R56" s="17">
        <f t="shared" si="50"/>
        <v>36642</v>
      </c>
      <c r="S56" s="17">
        <f t="shared" si="50"/>
        <v>32664</v>
      </c>
      <c r="T56" s="17">
        <f t="shared" si="50"/>
        <v>26535</v>
      </c>
      <c r="U56" s="17">
        <f t="shared" si="50"/>
        <v>21062</v>
      </c>
      <c r="X56" s="15"/>
      <c r="AD56" s="16">
        <f t="shared" si="48"/>
        <v>52</v>
      </c>
      <c r="AE56" s="17">
        <f t="shared" ref="AE56:AE69" si="54">C$31</f>
        <v>68171</v>
      </c>
      <c r="AF56" s="17">
        <f t="shared" si="51"/>
        <v>63575</v>
      </c>
      <c r="AG56" s="17">
        <f t="shared" si="51"/>
        <v>51012</v>
      </c>
      <c r="AH56" s="17">
        <f t="shared" si="51"/>
        <v>46905</v>
      </c>
      <c r="AI56" s="17">
        <f t="shared" si="51"/>
        <v>39727</v>
      </c>
    </row>
    <row r="57" spans="9:35">
      <c r="I57" s="16">
        <f t="shared" si="15"/>
        <v>53</v>
      </c>
      <c r="J57" s="17">
        <f t="shared" si="52"/>
        <v>46904</v>
      </c>
      <c r="K57" s="17">
        <f t="shared" si="49"/>
        <v>42608</v>
      </c>
      <c r="L57" s="17">
        <f t="shared" si="49"/>
        <v>37982</v>
      </c>
      <c r="M57" s="17">
        <f t="shared" si="49"/>
        <v>30855</v>
      </c>
      <c r="N57" s="17">
        <f t="shared" si="49"/>
        <v>24491</v>
      </c>
      <c r="P57" s="16">
        <f t="shared" si="47"/>
        <v>53</v>
      </c>
      <c r="Q57" s="17">
        <f t="shared" si="53"/>
        <v>40337</v>
      </c>
      <c r="R57" s="17">
        <f t="shared" si="50"/>
        <v>36642</v>
      </c>
      <c r="S57" s="17">
        <f t="shared" si="50"/>
        <v>32664</v>
      </c>
      <c r="T57" s="17">
        <f t="shared" si="50"/>
        <v>26535</v>
      </c>
      <c r="U57" s="17">
        <f t="shared" si="50"/>
        <v>21062</v>
      </c>
      <c r="X57" s="15"/>
      <c r="AD57" s="16">
        <f t="shared" si="48"/>
        <v>53</v>
      </c>
      <c r="AE57" s="17">
        <f t="shared" si="54"/>
        <v>68171</v>
      </c>
      <c r="AF57" s="17">
        <f t="shared" si="51"/>
        <v>63575</v>
      </c>
      <c r="AG57" s="17">
        <f t="shared" si="51"/>
        <v>51012</v>
      </c>
      <c r="AH57" s="17">
        <f t="shared" si="51"/>
        <v>46905</v>
      </c>
      <c r="AI57" s="17">
        <f t="shared" si="51"/>
        <v>39727</v>
      </c>
    </row>
    <row r="58" spans="9:35">
      <c r="I58" s="16">
        <f t="shared" si="15"/>
        <v>54</v>
      </c>
      <c r="J58" s="17">
        <f t="shared" si="52"/>
        <v>46904</v>
      </c>
      <c r="K58" s="17">
        <f t="shared" si="49"/>
        <v>42608</v>
      </c>
      <c r="L58" s="17">
        <f t="shared" si="49"/>
        <v>37982</v>
      </c>
      <c r="M58" s="17">
        <f t="shared" si="49"/>
        <v>30855</v>
      </c>
      <c r="N58" s="17">
        <f t="shared" si="49"/>
        <v>24491</v>
      </c>
      <c r="P58" s="16">
        <f t="shared" si="47"/>
        <v>54</v>
      </c>
      <c r="Q58" s="17">
        <f t="shared" si="53"/>
        <v>40337</v>
      </c>
      <c r="R58" s="17">
        <f t="shared" si="50"/>
        <v>36642</v>
      </c>
      <c r="S58" s="17">
        <f t="shared" si="50"/>
        <v>32664</v>
      </c>
      <c r="T58" s="17">
        <f t="shared" si="50"/>
        <v>26535</v>
      </c>
      <c r="U58" s="17">
        <f t="shared" si="50"/>
        <v>21062</v>
      </c>
      <c r="X58" s="15"/>
      <c r="AD58" s="16">
        <f t="shared" si="48"/>
        <v>54</v>
      </c>
      <c r="AE58" s="17">
        <f t="shared" si="54"/>
        <v>68171</v>
      </c>
      <c r="AF58" s="17">
        <f t="shared" si="51"/>
        <v>63575</v>
      </c>
      <c r="AG58" s="17">
        <f t="shared" si="51"/>
        <v>51012</v>
      </c>
      <c r="AH58" s="17">
        <f t="shared" si="51"/>
        <v>46905</v>
      </c>
      <c r="AI58" s="17">
        <f t="shared" si="51"/>
        <v>39727</v>
      </c>
    </row>
    <row r="59" spans="9:35">
      <c r="I59" s="16">
        <f t="shared" si="15"/>
        <v>55</v>
      </c>
      <c r="J59" s="17">
        <f t="shared" si="52"/>
        <v>46904</v>
      </c>
      <c r="K59" s="17">
        <f t="shared" si="49"/>
        <v>42608</v>
      </c>
      <c r="L59" s="17">
        <f t="shared" si="49"/>
        <v>37982</v>
      </c>
      <c r="M59" s="17">
        <f t="shared" si="49"/>
        <v>30855</v>
      </c>
      <c r="N59" s="17">
        <f t="shared" si="49"/>
        <v>24491</v>
      </c>
      <c r="P59" s="16">
        <f t="shared" si="47"/>
        <v>55</v>
      </c>
      <c r="Q59" s="17">
        <f t="shared" si="53"/>
        <v>40337</v>
      </c>
      <c r="R59" s="17">
        <f t="shared" si="50"/>
        <v>36642</v>
      </c>
      <c r="S59" s="17">
        <f t="shared" si="50"/>
        <v>32664</v>
      </c>
      <c r="T59" s="17">
        <f t="shared" si="50"/>
        <v>26535</v>
      </c>
      <c r="U59" s="17">
        <f t="shared" si="50"/>
        <v>21062</v>
      </c>
      <c r="X59" s="15"/>
      <c r="AD59" s="16">
        <f t="shared" si="48"/>
        <v>55</v>
      </c>
      <c r="AE59" s="17">
        <f t="shared" si="54"/>
        <v>68171</v>
      </c>
      <c r="AF59" s="17">
        <f t="shared" si="51"/>
        <v>63575</v>
      </c>
      <c r="AG59" s="17">
        <f t="shared" si="51"/>
        <v>51012</v>
      </c>
      <c r="AH59" s="17">
        <f t="shared" si="51"/>
        <v>46905</v>
      </c>
      <c r="AI59" s="17">
        <f t="shared" si="51"/>
        <v>39727</v>
      </c>
    </row>
    <row r="60" spans="9:35">
      <c r="I60" s="16">
        <f t="shared" si="15"/>
        <v>56</v>
      </c>
      <c r="J60" s="17">
        <f t="shared" si="52"/>
        <v>46904</v>
      </c>
      <c r="K60" s="17">
        <f t="shared" si="49"/>
        <v>42608</v>
      </c>
      <c r="L60" s="17">
        <f t="shared" si="49"/>
        <v>37982</v>
      </c>
      <c r="M60" s="17">
        <f t="shared" si="49"/>
        <v>30855</v>
      </c>
      <c r="N60" s="17">
        <f t="shared" si="49"/>
        <v>24491</v>
      </c>
      <c r="P60" s="16">
        <f t="shared" si="47"/>
        <v>56</v>
      </c>
      <c r="Q60" s="17">
        <f t="shared" si="53"/>
        <v>40337</v>
      </c>
      <c r="R60" s="17">
        <f t="shared" si="50"/>
        <v>36642</v>
      </c>
      <c r="S60" s="17">
        <f t="shared" si="50"/>
        <v>32664</v>
      </c>
      <c r="T60" s="17">
        <f t="shared" si="50"/>
        <v>26535</v>
      </c>
      <c r="U60" s="17">
        <f t="shared" si="50"/>
        <v>21062</v>
      </c>
      <c r="X60" s="15"/>
      <c r="AD60" s="16">
        <f t="shared" si="48"/>
        <v>56</v>
      </c>
      <c r="AE60" s="17">
        <f t="shared" si="54"/>
        <v>68171</v>
      </c>
      <c r="AF60" s="17">
        <f t="shared" si="51"/>
        <v>63575</v>
      </c>
      <c r="AG60" s="17">
        <f t="shared" si="51"/>
        <v>51012</v>
      </c>
      <c r="AH60" s="17">
        <f t="shared" si="51"/>
        <v>46905</v>
      </c>
      <c r="AI60" s="17">
        <f t="shared" si="51"/>
        <v>39727</v>
      </c>
    </row>
    <row r="61" spans="9:35">
      <c r="I61" s="16">
        <f>I60+1</f>
        <v>57</v>
      </c>
      <c r="J61" s="17">
        <f t="shared" si="52"/>
        <v>46904</v>
      </c>
      <c r="K61" s="17">
        <f t="shared" si="49"/>
        <v>42608</v>
      </c>
      <c r="L61" s="17">
        <f t="shared" si="49"/>
        <v>37982</v>
      </c>
      <c r="M61" s="17">
        <f t="shared" si="49"/>
        <v>30855</v>
      </c>
      <c r="N61" s="17">
        <f t="shared" si="49"/>
        <v>24491</v>
      </c>
      <c r="P61" s="16">
        <f>P60+1</f>
        <v>57</v>
      </c>
      <c r="Q61" s="17">
        <f t="shared" si="53"/>
        <v>40337</v>
      </c>
      <c r="R61" s="17">
        <f t="shared" si="50"/>
        <v>36642</v>
      </c>
      <c r="S61" s="17">
        <f t="shared" si="50"/>
        <v>32664</v>
      </c>
      <c r="T61" s="17">
        <f t="shared" si="50"/>
        <v>26535</v>
      </c>
      <c r="U61" s="17">
        <f t="shared" si="50"/>
        <v>21062</v>
      </c>
      <c r="X61" s="15"/>
      <c r="AD61" s="16">
        <f>AD60+1</f>
        <v>57</v>
      </c>
      <c r="AE61" s="17">
        <f t="shared" si="54"/>
        <v>68171</v>
      </c>
      <c r="AF61" s="17">
        <f t="shared" si="51"/>
        <v>63575</v>
      </c>
      <c r="AG61" s="17">
        <f t="shared" si="51"/>
        <v>51012</v>
      </c>
      <c r="AH61" s="17">
        <f t="shared" si="51"/>
        <v>46905</v>
      </c>
      <c r="AI61" s="17">
        <f t="shared" si="51"/>
        <v>39727</v>
      </c>
    </row>
    <row r="62" spans="9:35">
      <c r="I62" s="16">
        <f t="shared" si="15"/>
        <v>58</v>
      </c>
      <c r="J62" s="17">
        <f t="shared" si="52"/>
        <v>46904</v>
      </c>
      <c r="K62" s="17">
        <f t="shared" si="49"/>
        <v>42608</v>
      </c>
      <c r="L62" s="17">
        <f t="shared" si="49"/>
        <v>37982</v>
      </c>
      <c r="M62" s="17">
        <f t="shared" si="49"/>
        <v>30855</v>
      </c>
      <c r="N62" s="17">
        <f t="shared" si="49"/>
        <v>24491</v>
      </c>
      <c r="P62" s="16">
        <f t="shared" ref="P62:P63" si="55">P61+1</f>
        <v>58</v>
      </c>
      <c r="Q62" s="17">
        <f t="shared" si="53"/>
        <v>40337</v>
      </c>
      <c r="R62" s="17">
        <f t="shared" si="50"/>
        <v>36642</v>
      </c>
      <c r="S62" s="17">
        <f t="shared" si="50"/>
        <v>32664</v>
      </c>
      <c r="T62" s="17">
        <f t="shared" si="50"/>
        <v>26535</v>
      </c>
      <c r="U62" s="17">
        <f t="shared" si="50"/>
        <v>21062</v>
      </c>
      <c r="X62" s="15"/>
      <c r="AD62" s="16">
        <f t="shared" ref="AD62:AD63" si="56">AD61+1</f>
        <v>58</v>
      </c>
      <c r="AE62" s="17">
        <f t="shared" si="54"/>
        <v>68171</v>
      </c>
      <c r="AF62" s="17">
        <f t="shared" si="51"/>
        <v>63575</v>
      </c>
      <c r="AG62" s="17">
        <f t="shared" si="51"/>
        <v>51012</v>
      </c>
      <c r="AH62" s="17">
        <f t="shared" si="51"/>
        <v>46905</v>
      </c>
      <c r="AI62" s="17">
        <f t="shared" si="51"/>
        <v>39727</v>
      </c>
    </row>
    <row r="63" spans="9:35">
      <c r="I63" s="16">
        <f t="shared" si="15"/>
        <v>59</v>
      </c>
      <c r="J63" s="17">
        <f t="shared" si="52"/>
        <v>46904</v>
      </c>
      <c r="K63" s="17">
        <f t="shared" si="49"/>
        <v>42608</v>
      </c>
      <c r="L63" s="17">
        <f t="shared" si="49"/>
        <v>37982</v>
      </c>
      <c r="M63" s="17">
        <f t="shared" si="49"/>
        <v>30855</v>
      </c>
      <c r="N63" s="17">
        <f t="shared" si="49"/>
        <v>24491</v>
      </c>
      <c r="P63" s="16">
        <f t="shared" si="55"/>
        <v>59</v>
      </c>
      <c r="Q63" s="17">
        <f t="shared" si="53"/>
        <v>40337</v>
      </c>
      <c r="R63" s="17">
        <f t="shared" si="50"/>
        <v>36642</v>
      </c>
      <c r="S63" s="17">
        <f t="shared" si="50"/>
        <v>32664</v>
      </c>
      <c r="T63" s="17">
        <f t="shared" si="50"/>
        <v>26535</v>
      </c>
      <c r="U63" s="17">
        <f t="shared" si="50"/>
        <v>21062</v>
      </c>
      <c r="X63" s="15"/>
      <c r="AD63" s="16">
        <f t="shared" si="56"/>
        <v>59</v>
      </c>
      <c r="AE63" s="17">
        <f t="shared" si="54"/>
        <v>68171</v>
      </c>
      <c r="AF63" s="17">
        <f t="shared" si="51"/>
        <v>63575</v>
      </c>
      <c r="AG63" s="17">
        <f t="shared" si="51"/>
        <v>51012</v>
      </c>
      <c r="AH63" s="17">
        <f t="shared" si="51"/>
        <v>46905</v>
      </c>
      <c r="AI63" s="17">
        <f t="shared" si="51"/>
        <v>39727</v>
      </c>
    </row>
    <row r="64" spans="9:35">
      <c r="I64" s="16">
        <f>I63+1</f>
        <v>60</v>
      </c>
      <c r="J64" s="17">
        <f t="shared" si="52"/>
        <v>46904</v>
      </c>
      <c r="K64" s="17">
        <f t="shared" si="49"/>
        <v>42608</v>
      </c>
      <c r="L64" s="17">
        <f t="shared" si="49"/>
        <v>37982</v>
      </c>
      <c r="M64" s="17">
        <f t="shared" si="49"/>
        <v>30855</v>
      </c>
      <c r="N64" s="17">
        <f t="shared" si="49"/>
        <v>24491</v>
      </c>
      <c r="P64" s="16">
        <f>P63+1</f>
        <v>60</v>
      </c>
      <c r="Q64" s="17">
        <f t="shared" si="53"/>
        <v>40337</v>
      </c>
      <c r="R64" s="17">
        <f t="shared" si="50"/>
        <v>36642</v>
      </c>
      <c r="S64" s="17">
        <f t="shared" si="50"/>
        <v>32664</v>
      </c>
      <c r="T64" s="17">
        <f t="shared" si="50"/>
        <v>26535</v>
      </c>
      <c r="U64" s="17">
        <f t="shared" si="50"/>
        <v>21062</v>
      </c>
      <c r="X64" s="15"/>
      <c r="AD64" s="16">
        <f>AD63+1</f>
        <v>60</v>
      </c>
      <c r="AE64" s="17">
        <f t="shared" si="54"/>
        <v>68171</v>
      </c>
      <c r="AF64" s="17">
        <f t="shared" si="51"/>
        <v>63575</v>
      </c>
      <c r="AG64" s="17">
        <f t="shared" si="51"/>
        <v>51012</v>
      </c>
      <c r="AH64" s="17">
        <f t="shared" si="51"/>
        <v>46905</v>
      </c>
      <c r="AI64" s="17">
        <f t="shared" si="51"/>
        <v>39727</v>
      </c>
    </row>
    <row r="65" spans="9:35">
      <c r="I65" s="16">
        <f t="shared" si="15"/>
        <v>61</v>
      </c>
      <c r="J65" s="17">
        <f t="shared" si="52"/>
        <v>46904</v>
      </c>
      <c r="K65" s="17">
        <f t="shared" si="49"/>
        <v>42608</v>
      </c>
      <c r="L65" s="17">
        <f t="shared" si="49"/>
        <v>37982</v>
      </c>
      <c r="M65" s="17">
        <f t="shared" si="49"/>
        <v>30855</v>
      </c>
      <c r="N65" s="17">
        <f t="shared" si="49"/>
        <v>24491</v>
      </c>
      <c r="P65" s="16">
        <f t="shared" ref="P65:P68" si="57">P64+1</f>
        <v>61</v>
      </c>
      <c r="Q65" s="17">
        <f t="shared" si="53"/>
        <v>40337</v>
      </c>
      <c r="R65" s="17">
        <f t="shared" si="50"/>
        <v>36642</v>
      </c>
      <c r="S65" s="17">
        <f t="shared" si="50"/>
        <v>32664</v>
      </c>
      <c r="T65" s="17">
        <f t="shared" si="50"/>
        <v>26535</v>
      </c>
      <c r="U65" s="17">
        <f t="shared" si="50"/>
        <v>21062</v>
      </c>
      <c r="X65" s="15"/>
      <c r="AD65" s="16">
        <f t="shared" ref="AD65:AD68" si="58">AD64+1</f>
        <v>61</v>
      </c>
      <c r="AE65" s="17">
        <f t="shared" si="54"/>
        <v>68171</v>
      </c>
      <c r="AF65" s="17">
        <f t="shared" si="51"/>
        <v>63575</v>
      </c>
      <c r="AG65" s="17">
        <f t="shared" si="51"/>
        <v>51012</v>
      </c>
      <c r="AH65" s="17">
        <f t="shared" si="51"/>
        <v>46905</v>
      </c>
      <c r="AI65" s="17">
        <f t="shared" si="51"/>
        <v>39727</v>
      </c>
    </row>
    <row r="66" spans="9:35">
      <c r="I66" s="16">
        <f t="shared" si="15"/>
        <v>62</v>
      </c>
      <c r="J66" s="17">
        <f t="shared" si="52"/>
        <v>46904</v>
      </c>
      <c r="K66" s="17">
        <f t="shared" si="49"/>
        <v>42608</v>
      </c>
      <c r="L66" s="17">
        <f t="shared" si="49"/>
        <v>37982</v>
      </c>
      <c r="M66" s="17">
        <f t="shared" si="49"/>
        <v>30855</v>
      </c>
      <c r="N66" s="17">
        <f t="shared" si="49"/>
        <v>24491</v>
      </c>
      <c r="P66" s="16">
        <f t="shared" si="57"/>
        <v>62</v>
      </c>
      <c r="Q66" s="17">
        <f t="shared" si="53"/>
        <v>40337</v>
      </c>
      <c r="R66" s="17">
        <f t="shared" si="50"/>
        <v>36642</v>
      </c>
      <c r="S66" s="17">
        <f t="shared" si="50"/>
        <v>32664</v>
      </c>
      <c r="T66" s="17">
        <f t="shared" si="50"/>
        <v>26535</v>
      </c>
      <c r="U66" s="17">
        <f t="shared" si="50"/>
        <v>21062</v>
      </c>
      <c r="X66" s="15"/>
      <c r="AD66" s="16">
        <f t="shared" si="58"/>
        <v>62</v>
      </c>
      <c r="AE66" s="17">
        <f t="shared" si="54"/>
        <v>68171</v>
      </c>
      <c r="AF66" s="17">
        <f t="shared" si="51"/>
        <v>63575</v>
      </c>
      <c r="AG66" s="17">
        <f t="shared" si="51"/>
        <v>51012</v>
      </c>
      <c r="AH66" s="17">
        <f t="shared" si="51"/>
        <v>46905</v>
      </c>
      <c r="AI66" s="17">
        <f t="shared" si="51"/>
        <v>39727</v>
      </c>
    </row>
    <row r="67" spans="9:35">
      <c r="I67" s="16">
        <f t="shared" si="15"/>
        <v>63</v>
      </c>
      <c r="J67" s="17">
        <f t="shared" si="52"/>
        <v>46904</v>
      </c>
      <c r="K67" s="17">
        <f t="shared" si="49"/>
        <v>42608</v>
      </c>
      <c r="L67" s="17">
        <f t="shared" si="49"/>
        <v>37982</v>
      </c>
      <c r="M67" s="17">
        <f t="shared" si="49"/>
        <v>30855</v>
      </c>
      <c r="N67" s="17">
        <f t="shared" si="49"/>
        <v>24491</v>
      </c>
      <c r="P67" s="16">
        <f t="shared" si="57"/>
        <v>63</v>
      </c>
      <c r="Q67" s="17">
        <f t="shared" si="53"/>
        <v>40337</v>
      </c>
      <c r="R67" s="17">
        <f t="shared" si="50"/>
        <v>36642</v>
      </c>
      <c r="S67" s="17">
        <f t="shared" si="50"/>
        <v>32664</v>
      </c>
      <c r="T67" s="17">
        <f t="shared" si="50"/>
        <v>26535</v>
      </c>
      <c r="U67" s="17">
        <f t="shared" si="50"/>
        <v>21062</v>
      </c>
      <c r="X67" s="15"/>
      <c r="AD67" s="16">
        <f t="shared" si="58"/>
        <v>63</v>
      </c>
      <c r="AE67" s="17">
        <f t="shared" si="54"/>
        <v>68171</v>
      </c>
      <c r="AF67" s="17">
        <f t="shared" si="51"/>
        <v>63575</v>
      </c>
      <c r="AG67" s="17">
        <f t="shared" si="51"/>
        <v>51012</v>
      </c>
      <c r="AH67" s="17">
        <f t="shared" si="51"/>
        <v>46905</v>
      </c>
      <c r="AI67" s="17">
        <f t="shared" si="51"/>
        <v>39727</v>
      </c>
    </row>
    <row r="68" spans="9:35">
      <c r="I68" s="16">
        <f t="shared" si="15"/>
        <v>64</v>
      </c>
      <c r="J68" s="17">
        <f t="shared" si="52"/>
        <v>46904</v>
      </c>
      <c r="K68" s="17">
        <f t="shared" si="49"/>
        <v>42608</v>
      </c>
      <c r="L68" s="17">
        <f t="shared" si="49"/>
        <v>37982</v>
      </c>
      <c r="M68" s="17">
        <f t="shared" si="49"/>
        <v>30855</v>
      </c>
      <c r="N68" s="17">
        <f t="shared" si="49"/>
        <v>24491</v>
      </c>
      <c r="P68" s="16">
        <f t="shared" si="57"/>
        <v>64</v>
      </c>
      <c r="Q68" s="17">
        <f t="shared" si="53"/>
        <v>40337</v>
      </c>
      <c r="R68" s="17">
        <f t="shared" si="50"/>
        <v>36642</v>
      </c>
      <c r="S68" s="17">
        <f t="shared" si="50"/>
        <v>32664</v>
      </c>
      <c r="T68" s="17">
        <f t="shared" si="50"/>
        <v>26535</v>
      </c>
      <c r="U68" s="17">
        <f t="shared" si="50"/>
        <v>21062</v>
      </c>
      <c r="X68" s="15"/>
      <c r="AD68" s="16">
        <f t="shared" si="58"/>
        <v>64</v>
      </c>
      <c r="AE68" s="17">
        <f t="shared" si="54"/>
        <v>68171</v>
      </c>
      <c r="AF68" s="17">
        <f t="shared" si="51"/>
        <v>63575</v>
      </c>
      <c r="AG68" s="17">
        <f t="shared" si="51"/>
        <v>51012</v>
      </c>
      <c r="AH68" s="17">
        <f t="shared" si="51"/>
        <v>46905</v>
      </c>
      <c r="AI68" s="17">
        <f t="shared" si="51"/>
        <v>39727</v>
      </c>
    </row>
    <row r="69" spans="9:35">
      <c r="I69" s="16">
        <f>I68+1</f>
        <v>65</v>
      </c>
      <c r="J69" s="17">
        <f t="shared" si="52"/>
        <v>46904</v>
      </c>
      <c r="K69" s="17">
        <f t="shared" si="49"/>
        <v>42608</v>
      </c>
      <c r="L69" s="17">
        <f t="shared" si="49"/>
        <v>37982</v>
      </c>
      <c r="M69" s="17">
        <f t="shared" si="49"/>
        <v>30855</v>
      </c>
      <c r="N69" s="17">
        <f t="shared" si="49"/>
        <v>24491</v>
      </c>
      <c r="P69" s="16">
        <f>P68+1</f>
        <v>65</v>
      </c>
      <c r="Q69" s="17">
        <f t="shared" si="53"/>
        <v>40337</v>
      </c>
      <c r="R69" s="17">
        <f t="shared" si="50"/>
        <v>36642</v>
      </c>
      <c r="S69" s="17">
        <f t="shared" si="50"/>
        <v>32664</v>
      </c>
      <c r="T69" s="17">
        <f t="shared" si="50"/>
        <v>26535</v>
      </c>
      <c r="U69" s="17">
        <f t="shared" si="50"/>
        <v>21062</v>
      </c>
      <c r="X69" s="15"/>
      <c r="AD69" s="16">
        <f>AD68+1</f>
        <v>65</v>
      </c>
      <c r="AE69" s="17">
        <f t="shared" si="54"/>
        <v>68171</v>
      </c>
      <c r="AF69" s="17">
        <f t="shared" si="51"/>
        <v>63575</v>
      </c>
      <c r="AG69" s="17">
        <f t="shared" si="51"/>
        <v>51012</v>
      </c>
      <c r="AH69" s="17">
        <f t="shared" si="51"/>
        <v>46905</v>
      </c>
      <c r="AI69" s="17">
        <f t="shared" si="51"/>
        <v>39727</v>
      </c>
    </row>
  </sheetData>
  <sheetProtection algorithmName="SHA-512" hashValue="23sASHGRaIuq4wic2qaFdW5fe7RHkoB/wsHV0/LqdVQtx7jsa2L44HuIJGPVsfyVeNngFOvgXKAnnOrA1GzJvA==" saltValue="w3KVEKEiooKXsEQn1s8KMw==" spinCount="100000" sheet="1" objects="1" scenarios="1"/>
  <mergeCells count="7">
    <mergeCell ref="AD2:AI2"/>
    <mergeCell ref="W2:AB2"/>
    <mergeCell ref="B2:G2"/>
    <mergeCell ref="B41:G41"/>
    <mergeCell ref="B42:G42"/>
    <mergeCell ref="I2:N2"/>
    <mergeCell ref="P2:U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78FA1-850D-473E-9FA0-A423F0BDF8D2}">
  <sheetPr codeName="Sheet2">
    <pageSetUpPr fitToPage="1"/>
  </sheetPr>
  <dimension ref="B1:Q32"/>
  <sheetViews>
    <sheetView showGridLines="0" tabSelected="1" topLeftCell="A7" zoomScale="90" zoomScaleNormal="90" workbookViewId="0">
      <selection activeCell="F28" sqref="F28"/>
    </sheetView>
  </sheetViews>
  <sheetFormatPr defaultColWidth="8.88671875" defaultRowHeight="13.8"/>
  <cols>
    <col min="1" max="1" width="4.33203125" style="19" customWidth="1"/>
    <col min="2" max="2" width="14.6640625" style="19" customWidth="1"/>
    <col min="3" max="3" width="20.6640625" style="19" bestFit="1" customWidth="1"/>
    <col min="4" max="4" width="9.88671875" style="19" customWidth="1"/>
    <col min="5" max="5" width="23.6640625" style="20" customWidth="1"/>
    <col min="6" max="6" width="15.6640625" style="21" customWidth="1"/>
    <col min="7" max="9" width="8.88671875" style="19"/>
    <col min="10" max="10" width="19" style="19" bestFit="1" customWidth="1"/>
    <col min="11" max="11" width="11" style="19" customWidth="1"/>
    <col min="12" max="12" width="11.5546875" style="19" customWidth="1"/>
    <col min="13" max="13" width="11" style="19" customWidth="1"/>
    <col min="14" max="14" width="11.6640625" style="19" customWidth="1"/>
    <col min="15" max="15" width="13" style="19" customWidth="1"/>
    <col min="16" max="16384" width="8.88671875" style="19"/>
  </cols>
  <sheetData>
    <row r="1" spans="2:17" ht="14.4" thickBot="1"/>
    <row r="2" spans="2:17">
      <c r="C2" s="54"/>
      <c r="D2" s="37"/>
      <c r="E2" s="55"/>
      <c r="F2" s="56"/>
      <c r="G2" s="37"/>
      <c r="H2" s="37"/>
      <c r="I2" s="37"/>
      <c r="J2" s="37"/>
      <c r="K2" s="37"/>
      <c r="L2" s="37"/>
      <c r="M2" s="37"/>
      <c r="N2" s="37"/>
      <c r="O2" s="37"/>
      <c r="P2" s="37"/>
      <c r="Q2" s="38"/>
    </row>
    <row r="3" spans="2:17">
      <c r="C3" s="57"/>
      <c r="E3" s="30"/>
      <c r="Q3" s="58"/>
    </row>
    <row r="4" spans="2:17">
      <c r="C4" s="57"/>
      <c r="E4" s="30"/>
      <c r="Q4" s="58"/>
    </row>
    <row r="5" spans="2:17">
      <c r="C5" s="57"/>
      <c r="E5" s="30"/>
      <c r="Q5" s="58"/>
    </row>
    <row r="6" spans="2:17">
      <c r="C6" s="57"/>
      <c r="E6" s="30"/>
      <c r="Q6" s="58"/>
    </row>
    <row r="7" spans="2:17">
      <c r="C7" s="57"/>
      <c r="E7" s="30"/>
      <c r="Q7" s="58"/>
    </row>
    <row r="8" spans="2:17" ht="14.4" thickBot="1">
      <c r="C8" s="57"/>
      <c r="E8" s="30"/>
      <c r="Q8" s="58"/>
    </row>
    <row r="9" spans="2:17">
      <c r="C9" s="97" t="s">
        <v>29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9"/>
      <c r="Q9" s="58"/>
    </row>
    <row r="10" spans="2:17" ht="15" thickBot="1">
      <c r="C10" s="100" t="s">
        <v>30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2"/>
      <c r="Q10" s="58"/>
    </row>
    <row r="11" spans="2:17" ht="14.4" thickBot="1">
      <c r="C11" s="57"/>
      <c r="E11" s="30"/>
      <c r="Q11" s="58"/>
    </row>
    <row r="12" spans="2:17">
      <c r="B12" s="94" t="s">
        <v>54</v>
      </c>
      <c r="C12" s="73" t="s">
        <v>32</v>
      </c>
      <c r="D12" s="74" t="s">
        <v>34</v>
      </c>
      <c r="E12" s="75" t="s">
        <v>31</v>
      </c>
      <c r="J12" s="103" t="s">
        <v>36</v>
      </c>
      <c r="K12" s="104"/>
      <c r="L12" s="104"/>
      <c r="M12" s="104"/>
      <c r="N12" s="104"/>
      <c r="O12" s="105"/>
      <c r="Q12" s="58"/>
    </row>
    <row r="13" spans="2:17">
      <c r="B13" s="95"/>
      <c r="C13" s="71" t="s">
        <v>33</v>
      </c>
      <c r="D13" s="22">
        <v>1</v>
      </c>
      <c r="E13" s="67">
        <v>32</v>
      </c>
      <c r="J13" s="23" t="s">
        <v>37</v>
      </c>
      <c r="K13" s="24" t="s">
        <v>1</v>
      </c>
      <c r="L13" s="24" t="s">
        <v>2</v>
      </c>
      <c r="M13" s="24" t="s">
        <v>3</v>
      </c>
      <c r="N13" s="24" t="s">
        <v>4</v>
      </c>
      <c r="O13" s="25" t="s">
        <v>5</v>
      </c>
      <c r="P13" s="64" t="s">
        <v>41</v>
      </c>
      <c r="Q13" s="58"/>
    </row>
    <row r="14" spans="2:17" ht="14.4" thickBot="1">
      <c r="B14" s="95"/>
      <c r="C14" s="71" t="s">
        <v>9</v>
      </c>
      <c r="D14" s="65">
        <v>1</v>
      </c>
      <c r="E14" s="68">
        <v>28</v>
      </c>
      <c r="J14" s="26" t="s">
        <v>6</v>
      </c>
      <c r="K14" s="27">
        <v>5000000</v>
      </c>
      <c r="L14" s="27">
        <v>3000000</v>
      </c>
      <c r="M14" s="27">
        <v>2000000</v>
      </c>
      <c r="N14" s="27">
        <v>1000000</v>
      </c>
      <c r="O14" s="28">
        <v>500000</v>
      </c>
      <c r="Q14" s="58"/>
    </row>
    <row r="15" spans="2:17" ht="14.4" thickBot="1">
      <c r="B15" s="95"/>
      <c r="C15" s="72" t="s">
        <v>35</v>
      </c>
      <c r="D15" s="66">
        <v>6</v>
      </c>
      <c r="E15" s="29"/>
      <c r="J15" s="26" t="s">
        <v>14</v>
      </c>
      <c r="K15" s="27">
        <v>200000</v>
      </c>
      <c r="L15" s="27">
        <v>150000</v>
      </c>
      <c r="M15" s="27">
        <v>100000</v>
      </c>
      <c r="N15" s="27">
        <v>75000</v>
      </c>
      <c r="O15" s="28">
        <v>50000</v>
      </c>
      <c r="Q15" s="58"/>
    </row>
    <row r="16" spans="2:17">
      <c r="B16" s="95"/>
      <c r="E16" s="30"/>
      <c r="J16" s="26" t="s">
        <v>20</v>
      </c>
      <c r="K16" s="27">
        <v>200000</v>
      </c>
      <c r="L16" s="27">
        <v>150000</v>
      </c>
      <c r="M16" s="27">
        <v>120000</v>
      </c>
      <c r="N16" s="27">
        <v>100000</v>
      </c>
      <c r="O16" s="28">
        <v>75000</v>
      </c>
      <c r="Q16" s="58"/>
    </row>
    <row r="17" spans="2:17">
      <c r="B17" s="95"/>
      <c r="C17" s="76" t="s">
        <v>53</v>
      </c>
      <c r="D17" s="77" t="s">
        <v>46</v>
      </c>
      <c r="E17" s="78" t="s">
        <v>37</v>
      </c>
      <c r="F17" s="79" t="s">
        <v>15</v>
      </c>
      <c r="J17" s="26" t="s">
        <v>21</v>
      </c>
      <c r="K17" s="27">
        <v>40000</v>
      </c>
      <c r="L17" s="27">
        <v>30000</v>
      </c>
      <c r="M17" s="27">
        <v>20000</v>
      </c>
      <c r="N17" s="27">
        <v>10000</v>
      </c>
      <c r="O17" s="28">
        <v>7500</v>
      </c>
      <c r="Q17" s="58"/>
    </row>
    <row r="18" spans="2:17" ht="14.4" thickBot="1">
      <c r="B18" s="95"/>
      <c r="C18" s="71" t="s">
        <v>38</v>
      </c>
      <c r="D18" s="69" t="s">
        <v>2</v>
      </c>
      <c r="E18" s="31">
        <f>IF(D18="NO",0,HLOOKUP($D18,$K$13:$O$18,2,FALSE))</f>
        <v>3000000</v>
      </c>
      <c r="F18" s="32">
        <f>IF(D18="NO",0,VLOOKUP(PrincipalAge,PrincipalRates,HLOOKUP($D$18,Rates!$C$3:$G$4,2,FALSE),FALSE)+VLOOKUP(SpouseAge,SpouseRates,HLOOKUP($D$18,Rates!$C$3:$G$4,2,FALSE),FALSE)*Spouses+HLOOKUP(E18,ChildRates,2,FALSE)*Children)</f>
        <v>173646</v>
      </c>
      <c r="J18" s="33" t="s">
        <v>22</v>
      </c>
      <c r="K18" s="34">
        <v>40000</v>
      </c>
      <c r="L18" s="34">
        <v>30000</v>
      </c>
      <c r="M18" s="34">
        <v>20000</v>
      </c>
      <c r="N18" s="34">
        <v>10000</v>
      </c>
      <c r="O18" s="35">
        <v>7500</v>
      </c>
      <c r="Q18" s="58"/>
    </row>
    <row r="19" spans="2:17" ht="14.4" thickBot="1">
      <c r="B19" s="95"/>
      <c r="C19" s="71" t="s">
        <v>39</v>
      </c>
      <c r="D19" s="69" t="s">
        <v>4</v>
      </c>
      <c r="E19" s="31">
        <f>IF(D19="NO",0,HLOOKUP($D19,$K$13:$O$18,3,FALSE))</f>
        <v>75000</v>
      </c>
      <c r="F19" s="32">
        <f>IF(D19="NO",0,VLOOKUP(PrincipalAge,OutPatientRates,HLOOKUP($D$19,Rates!$C$3:$G$4,2,FALSE),FALSE)+VLOOKUP(SpouseAge,OutPatientRates,HLOOKUP($D$19,Rates!$C$3:$G$4,2,FALSE),FALSE)*Spouses+Children*VLOOKUP(18,OutPatientRates,HLOOKUP($D$19,Rates!$C$3:$G$4,2,FALSE),FALSE))</f>
        <v>221125</v>
      </c>
      <c r="Q19" s="58"/>
    </row>
    <row r="20" spans="2:17">
      <c r="B20" s="95"/>
      <c r="C20" s="71" t="s">
        <v>40</v>
      </c>
      <c r="D20" s="69" t="s">
        <v>4</v>
      </c>
      <c r="E20" s="31">
        <f>IF(D20="NO",0,HLOOKUP(D20,Rates!$C$25:$G$34,9,FALSE))</f>
        <v>100000</v>
      </c>
      <c r="F20" s="32">
        <f>IF(D20="NO",0,HLOOKUP(E$20,MaternityRates,2,FALSE))</f>
        <v>26976</v>
      </c>
      <c r="J20" s="36" t="s">
        <v>47</v>
      </c>
      <c r="K20" s="37"/>
      <c r="L20" s="37"/>
      <c r="M20" s="37"/>
      <c r="N20" s="37"/>
      <c r="O20" s="38"/>
      <c r="Q20" s="58"/>
    </row>
    <row r="21" spans="2:17">
      <c r="B21" s="95"/>
      <c r="C21" s="71" t="s">
        <v>27</v>
      </c>
      <c r="D21" s="69" t="s">
        <v>4</v>
      </c>
      <c r="E21" s="31">
        <f>IF($D$19="NO","SELECT OUTPATIENT",IF(D21="NO",0,HLOOKUP(D21,Rates!$C$25:$G$37,12,FALSE)))</f>
        <v>10000</v>
      </c>
      <c r="F21" s="32">
        <f>IF(D21="NO",0,HLOOKUP(E21,DentalRates,2,FALSE))*SUM(D13:D15)</f>
        <v>21848</v>
      </c>
      <c r="J21" s="91" t="s">
        <v>58</v>
      </c>
      <c r="K21" s="92"/>
      <c r="L21" s="92"/>
      <c r="M21" s="92"/>
      <c r="N21" s="92"/>
      <c r="O21" s="93"/>
      <c r="Q21" s="58"/>
    </row>
    <row r="22" spans="2:17" ht="14.4" thickBot="1">
      <c r="B22" s="96"/>
      <c r="C22" s="60" t="s">
        <v>28</v>
      </c>
      <c r="D22" s="70" t="s">
        <v>4</v>
      </c>
      <c r="E22" s="40">
        <f>IF($D$19="NO","SELECT OUTPATIENT",IF(D22="NO",0,HLOOKUP(D22,Rates!$C$25:$G$40,15,FALSE)))</f>
        <v>10000</v>
      </c>
      <c r="F22" s="41">
        <f>IF(D22="NO",0,HLOOKUP(E22,Rates!$B$39:$G$40,2,FALSE))*SUM(D13:D15)</f>
        <v>24272</v>
      </c>
      <c r="J22" s="91" t="s">
        <v>48</v>
      </c>
      <c r="K22" s="92"/>
      <c r="L22" s="92"/>
      <c r="M22" s="92"/>
      <c r="N22" s="92"/>
      <c r="O22" s="93"/>
      <c r="Q22" s="58"/>
    </row>
    <row r="23" spans="2:17" ht="14.4" thickBot="1">
      <c r="C23" s="57"/>
      <c r="E23" s="30"/>
      <c r="J23" s="42" t="s">
        <v>55</v>
      </c>
      <c r="K23" s="43"/>
      <c r="L23" s="43"/>
      <c r="M23" s="43"/>
      <c r="N23" s="43"/>
      <c r="O23" s="44"/>
      <c r="Q23" s="58"/>
    </row>
    <row r="24" spans="2:17" ht="14.4" thickBot="1">
      <c r="C24" s="106" t="s">
        <v>43</v>
      </c>
      <c r="D24" s="107"/>
      <c r="E24" s="108"/>
      <c r="F24" s="45">
        <v>40</v>
      </c>
      <c r="J24" s="46" t="s">
        <v>56</v>
      </c>
      <c r="K24" s="47"/>
      <c r="L24" s="47"/>
      <c r="M24" s="47"/>
      <c r="N24" s="47"/>
      <c r="O24" s="48"/>
      <c r="Q24" s="58"/>
    </row>
    <row r="25" spans="2:17" ht="14.4" thickBot="1">
      <c r="C25" s="88" t="s">
        <v>44</v>
      </c>
      <c r="D25" s="89"/>
      <c r="E25" s="90"/>
      <c r="F25" s="53">
        <f>SUM(F18:F22)+F24</f>
        <v>467907</v>
      </c>
      <c r="Q25" s="58"/>
    </row>
    <row r="26" spans="2:17">
      <c r="C26" s="57"/>
      <c r="E26" s="30"/>
      <c r="J26" s="49" t="s">
        <v>59</v>
      </c>
      <c r="K26" s="50"/>
      <c r="L26" s="50"/>
      <c r="M26" s="50"/>
      <c r="N26" s="50"/>
      <c r="O26" s="50"/>
      <c r="P26" s="50"/>
      <c r="Q26" s="59"/>
    </row>
    <row r="27" spans="2:17">
      <c r="C27" s="57"/>
      <c r="E27" s="30"/>
      <c r="J27" s="18" t="s">
        <v>51</v>
      </c>
      <c r="K27" s="43"/>
      <c r="L27" s="43"/>
      <c r="M27" s="43"/>
      <c r="N27" s="43"/>
      <c r="O27" s="43"/>
      <c r="P27" s="43"/>
      <c r="Q27" s="44"/>
    </row>
    <row r="28" spans="2:17">
      <c r="C28" s="57"/>
      <c r="E28" s="30"/>
      <c r="J28" s="18" t="s">
        <v>49</v>
      </c>
      <c r="K28" s="43"/>
      <c r="L28" s="43"/>
      <c r="M28" s="43"/>
      <c r="N28" s="43"/>
      <c r="O28" s="43"/>
      <c r="P28" s="43"/>
      <c r="Q28" s="44"/>
    </row>
    <row r="29" spans="2:17">
      <c r="C29" s="57"/>
      <c r="E29" s="30"/>
      <c r="J29" s="18" t="s">
        <v>52</v>
      </c>
      <c r="K29" s="43"/>
      <c r="L29" s="43"/>
      <c r="M29" s="43"/>
      <c r="N29" s="43"/>
      <c r="O29" s="43"/>
      <c r="P29" s="43"/>
      <c r="Q29" s="44"/>
    </row>
    <row r="30" spans="2:17">
      <c r="C30" s="57"/>
      <c r="E30" s="30"/>
      <c r="J30" s="51" t="s">
        <v>50</v>
      </c>
      <c r="K30" s="43"/>
      <c r="L30" s="43"/>
      <c r="M30" s="43"/>
      <c r="N30" s="43"/>
      <c r="O30" s="43"/>
      <c r="P30" s="43"/>
      <c r="Q30" s="44"/>
    </row>
    <row r="31" spans="2:17">
      <c r="C31" s="57"/>
      <c r="E31" s="30"/>
      <c r="J31" s="52" t="s">
        <v>57</v>
      </c>
      <c r="K31" s="43"/>
      <c r="L31" s="43"/>
      <c r="M31" s="43"/>
      <c r="N31" s="43"/>
      <c r="O31" s="43"/>
      <c r="P31" s="43"/>
      <c r="Q31" s="44"/>
    </row>
    <row r="32" spans="2:17" ht="14.4" thickBot="1">
      <c r="C32" s="39"/>
      <c r="D32" s="60"/>
      <c r="E32" s="61"/>
      <c r="F32" s="62"/>
      <c r="G32" s="60"/>
      <c r="H32" s="60"/>
      <c r="I32" s="60"/>
      <c r="J32" s="63"/>
      <c r="K32" s="47"/>
      <c r="L32" s="47"/>
      <c r="M32" s="47"/>
      <c r="N32" s="47"/>
      <c r="O32" s="47"/>
      <c r="P32" s="47"/>
      <c r="Q32" s="48"/>
    </row>
  </sheetData>
  <sheetProtection algorithmName="SHA-512" hashValue="FZRraPXHBiFVW4oVP+TM3gD4T9q9R8EmMh4FmgrrCsDFQHyKubnQovCl973g/KeLkixtv4lEpyfwCVVtk3Tzsg==" saltValue="ssiEW+tmOqOLp8GjyIDasg==" spinCount="100000" sheet="1" objects="1" scenarios="1"/>
  <mergeCells count="8">
    <mergeCell ref="C25:E25"/>
    <mergeCell ref="J21:O21"/>
    <mergeCell ref="J22:O22"/>
    <mergeCell ref="B12:B22"/>
    <mergeCell ref="C9:O9"/>
    <mergeCell ref="C10:O10"/>
    <mergeCell ref="J12:O12"/>
    <mergeCell ref="C24:E24"/>
  </mergeCells>
  <conditionalFormatting sqref="D18:D22">
    <cfRule type="containsText" dxfId="0" priority="1" operator="containsText" text="NO">
      <formula>NOT(ISERROR(SEARCH("NO",D18)))</formula>
    </cfRule>
  </conditionalFormatting>
  <dataValidations count="2">
    <dataValidation type="list" allowBlank="1" showInputMessage="1" showErrorMessage="1" sqref="D19:D22" xr:uid="{249D664B-D3C8-4D8F-A491-C32960093880}">
      <formula1>$K$13:$P$13</formula1>
    </dataValidation>
    <dataValidation type="list" allowBlank="1" showInputMessage="1" showErrorMessage="1" sqref="D18" xr:uid="{5627E126-2C28-4F61-9887-743A7C84EAAA}">
      <formula1>$K$13:$O$13</formula1>
    </dataValidation>
  </dataValidations>
  <hyperlinks>
    <hyperlink ref="J30" r:id="rId1" display="mailto:medical@firstassurance.co.ke" xr:uid="{C89A4DA9-2EB9-456E-ACAA-F965BD416A5D}"/>
  </hyperlinks>
  <pageMargins left="0.7" right="0.7" top="0.75" bottom="0.75" header="0.3" footer="0.3"/>
  <pageSetup scale="44" fitToHeight="0" orientation="portrait" r:id="rId2"/>
  <colBreaks count="1" manualBreakCount="1">
    <brk id="2" max="1048575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5" name="Button 47">
              <controlPr defaultSize="0" print="0" autoFill="0" autoPict="0" macro="[0]!PDFSaver">
                <anchor moveWithCells="1" sizeWithCells="1">
                  <from>
                    <xdr:col>17</xdr:col>
                    <xdr:colOff>327660</xdr:colOff>
                    <xdr:row>1</xdr:row>
                    <xdr:rowOff>68580</xdr:rowOff>
                  </from>
                  <to>
                    <xdr:col>19</xdr:col>
                    <xdr:colOff>403860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F54A2-1C41-4D88-9A07-571DF2B03499}">
          <x14:formula1>
            <xm:f>Rates!$P$4:$P$5</xm:f>
          </x14:formula1>
          <xm:sqref>D14</xm:sqref>
        </x14:dataValidation>
        <x14:dataValidation type="list" allowBlank="1" showInputMessage="1" showErrorMessage="1" xr:uid="{758F4E4F-43DD-45D8-BBF0-A723D9DCCE56}">
          <x14:formula1>
            <xm:f>Rates!$I$4:$I$14</xm:f>
          </x14:formula1>
          <xm:sqref>D15</xm:sqref>
        </x14:dataValidation>
        <x14:dataValidation type="list" allowBlank="1" showInputMessage="1" showErrorMessage="1" xr:uid="{8B296545-3403-461D-A98F-C3E001FE2C49}">
          <x14:formula1>
            <xm:f>Rates!$I$23:$I$69</xm:f>
          </x14:formula1>
          <xm:sqref>E13:E14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29C4515164414AB1E406514CAC579A" ma:contentTypeVersion="15" ma:contentTypeDescription="Create a new document." ma:contentTypeScope="" ma:versionID="6f193f69982cd3e68596b5ddd61e59dc">
  <xsd:schema xmlns:xsd="http://www.w3.org/2001/XMLSchema" xmlns:xs="http://www.w3.org/2001/XMLSchema" xmlns:p="http://schemas.microsoft.com/office/2006/metadata/properties" xmlns:ns1="http://schemas.microsoft.com/sharepoint/v3" xmlns:ns3="ea5ce16f-4c52-4fb5-a75e-12066ec85aec" xmlns:ns4="316348c1-1634-4142-aa81-ba5f39d8d360" targetNamespace="http://schemas.microsoft.com/office/2006/metadata/properties" ma:root="true" ma:fieldsID="2262116e3ccb7f8bdf7194ea4efd29e2" ns1:_="" ns3:_="" ns4:_="">
    <xsd:import namespace="http://schemas.microsoft.com/sharepoint/v3"/>
    <xsd:import namespace="ea5ce16f-4c52-4fb5-a75e-12066ec85aec"/>
    <xsd:import namespace="316348c1-1634-4142-aa81-ba5f39d8d36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1:_ip_UnifiedCompliancePolicyProperties" minOccurs="0"/>
                <xsd:element ref="ns1:_ip_UnifiedCompliancePolicyUIAc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5ce16f-4c52-4fb5-a75e-12066ec85ae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348c1-1634-4142-aa81-ba5f39d8d3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C48C07-B0FA-40F7-AF97-EB94BDC25C6B}">
  <ds:schemaRefs>
    <ds:schemaRef ds:uri="ea5ce16f-4c52-4fb5-a75e-12066ec85aec"/>
    <ds:schemaRef ds:uri="http://www.w3.org/XML/1998/namespace"/>
    <ds:schemaRef ds:uri="316348c1-1634-4142-aa81-ba5f39d8d3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purl.org/dc/elements/1.1/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55EB729-4EC7-4E63-94B1-4BE1646FEF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a5ce16f-4c52-4fb5-a75e-12066ec85aec"/>
    <ds:schemaRef ds:uri="316348c1-1634-4142-aa81-ba5f39d8d3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6C319-7530-4E8E-9FEE-85A20503A4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Rates</vt:lpstr>
      <vt:lpstr>Quotation</vt:lpstr>
      <vt:lpstr>ChildRates</vt:lpstr>
      <vt:lpstr>Children</vt:lpstr>
      <vt:lpstr>DentalRates</vt:lpstr>
      <vt:lpstr>MaternityRates</vt:lpstr>
      <vt:lpstr>OutPatientRates</vt:lpstr>
      <vt:lpstr>PrincipalAge</vt:lpstr>
      <vt:lpstr>PrincipalRates</vt:lpstr>
      <vt:lpstr>SpouseAge</vt:lpstr>
      <vt:lpstr>SpouseRates</vt:lpstr>
      <vt:lpstr>Spouses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2024-08-17T08:31:42Z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0x010100B029C4515164414AB1E406514CAC579A</vt:lpwstr>
  </property>
  <property fmtid="{D5CDD505-2E9C-101B-9397-08002B2CF9AE}" pid="3" name="MSIP_Label_2bd17b50-d54f-415a-8f6c-4a42e7593fb5_Enabled">
    <vt:lpwstr>true</vt:lpwstr>
  </property>
  <property fmtid="{D5CDD505-2E9C-101B-9397-08002B2CF9AE}" pid="4" name="MSIP_Label_2bd17b50-d54f-415a-8f6c-4a42e7593fb5_SetDate">
    <vt:lpwstr>2022-02-18T12:51:28Z</vt:lpwstr>
  </property>
  <property fmtid="{D5CDD505-2E9C-101B-9397-08002B2CF9AE}" pid="5" name="MSIP_Label_2bd17b50-d54f-415a-8f6c-4a42e7593fb5_Method">
    <vt:lpwstr>Privileged</vt:lpwstr>
  </property>
  <property fmtid="{D5CDD505-2E9C-101B-9397-08002B2CF9AE}" pid="6" name="MSIP_Label_2bd17b50-d54f-415a-8f6c-4a42e7593fb5_Name">
    <vt:lpwstr>Public</vt:lpwstr>
  </property>
  <property fmtid="{D5CDD505-2E9C-101B-9397-08002B2CF9AE}" pid="7" name="MSIP_Label_2bd17b50-d54f-415a-8f6c-4a42e7593fb5_SiteId">
    <vt:lpwstr>e36edb0e-9e2d-466b-97ea-1d4259aa42ee</vt:lpwstr>
  </property>
  <property fmtid="{D5CDD505-2E9C-101B-9397-08002B2CF9AE}" pid="8" name="MSIP_Label_2bd17b50-d54f-415a-8f6c-4a42e7593fb5_ActionId">
    <vt:lpwstr>dd7260e3-7a06-4bb8-b4d6-202256fad5e7</vt:lpwstr>
  </property>
  <property fmtid="{D5CDD505-2E9C-101B-9397-08002B2CF9AE}" pid="9" name="MSIP_Label_2bd17b50-d54f-415a-8f6c-4a42e7593fb5_ContentBits">
    <vt:lpwstr>0</vt:lpwstr>
  </property>
  <property fmtid="{D5CDD505-2E9C-101B-9397-08002B2CF9AE}" pid="10" name="MSIP_Label_4d7e46fc-7da6-4861-b6af-2416c1fa99ae_Enabled">
    <vt:lpwstr>true</vt:lpwstr>
  </property>
  <property fmtid="{D5CDD505-2E9C-101B-9397-08002B2CF9AE}" pid="11" name="MSIP_Label_4d7e46fc-7da6-4861-b6af-2416c1fa99ae_SetDate">
    <vt:lpwstr>2024-08-17T08:29:04Z</vt:lpwstr>
  </property>
  <property fmtid="{D5CDD505-2E9C-101B-9397-08002B2CF9AE}" pid="12" name="MSIP_Label_4d7e46fc-7da6-4861-b6af-2416c1fa99ae_Method">
    <vt:lpwstr>Standard</vt:lpwstr>
  </property>
  <property fmtid="{D5CDD505-2E9C-101B-9397-08002B2CF9AE}" pid="13" name="MSIP_Label_4d7e46fc-7da6-4861-b6af-2416c1fa99ae_Name">
    <vt:lpwstr>Restricted Internal</vt:lpwstr>
  </property>
  <property fmtid="{D5CDD505-2E9C-101B-9397-08002B2CF9AE}" pid="14" name="MSIP_Label_4d7e46fc-7da6-4861-b6af-2416c1fa99ae_SiteId">
    <vt:lpwstr>5be1f46d-495f-465b-9507-996e8c8cdcb6</vt:lpwstr>
  </property>
  <property fmtid="{D5CDD505-2E9C-101B-9397-08002B2CF9AE}" pid="15" name="MSIP_Label_4d7e46fc-7da6-4861-b6af-2416c1fa99ae_ActionId">
    <vt:lpwstr>59c8f338-c4e9-4f17-b949-34f99ff0f3bf</vt:lpwstr>
  </property>
  <property fmtid="{D5CDD505-2E9C-101B-9397-08002B2CF9AE}" pid="16" name="MSIP_Label_4d7e46fc-7da6-4861-b6af-2416c1fa99ae_ContentBits">
    <vt:lpwstr>0</vt:lpwstr>
  </property>
</Properties>
</file>