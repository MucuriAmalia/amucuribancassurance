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626"/>
  <workbookPr codeName="ThisWorkbook" defaultThemeVersion="124226"/>
  <mc:AlternateContent xmlns:mc="http://schemas.openxmlformats.org/markup-compatibility/2006">
    <mc:Choice Requires="x15">
      <x15ac:absPath xmlns:x15ac="http://schemas.microsoft.com/office/spreadsheetml/2010/11/ac" url="\\svrke050\SANLAM SHARES\SLI_Bancassurance\Beryl\ABSA\QUOTING TEMPLATES\"/>
    </mc:Choice>
  </mc:AlternateContent>
  <xr:revisionPtr revIDLastSave="0" documentId="8_{9DA39C1F-D6D1-4035-BD8C-3C1E77C19F21}" xr6:coauthVersionLast="47" xr6:coauthVersionMax="47" xr10:uidLastSave="{00000000-0000-0000-0000-000000000000}"/>
  <bookViews>
    <workbookView xWindow="-110" yWindow="-110" windowWidth="19420" windowHeight="10300" firstSheet="1" activeTab="1" xr2:uid="{00000000-000D-0000-FFFF-FFFF00000000}"/>
  </bookViews>
  <sheets>
    <sheet name="Quote( Stand Alone Benefits) " sheetId="2" state="hidden" r:id="rId1"/>
    <sheet name="Quote  (Accelerated Benefits)" sheetId="6" r:id="rId2"/>
    <sheet name="term rates" sheetId="4" state="hidden" r:id="rId3"/>
    <sheet name="Sheet1" sheetId="5" state="hidden" r:id="rId4"/>
  </sheets>
  <definedNames>
    <definedName name="compare" localSheetId="1">#REF!</definedName>
    <definedName name="compare">#REF!</definedName>
    <definedName name="premrate" localSheetId="1">#REF!</definedName>
    <definedName name="premrate">#REF!</definedName>
    <definedName name="_xlnm.Print_Area" localSheetId="1">'Quote  (Accelerated Benefits)'!$B$1:$N$63</definedName>
    <definedName name="_xlnm.Print_Area" localSheetId="0">'Quote( Stand Alone Benefits) '!$B$1:$K$59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 i="6" l="1"/>
  <c r="F25" i="6" s="1"/>
  <c r="G31" i="6" s="1"/>
  <c r="G34" i="6" l="1"/>
  <c r="C46" i="6"/>
  <c r="C41" i="6"/>
  <c r="C42" i="6" s="1"/>
  <c r="C25" i="6"/>
  <c r="G33" i="6" l="1"/>
  <c r="G33" i="2"/>
  <c r="I34" i="2"/>
  <c r="C46" i="2" l="1"/>
  <c r="C47" i="2" s="1"/>
  <c r="I31" i="6" l="1"/>
  <c r="I35" i="6" s="1"/>
  <c r="I36" i="6" s="1"/>
  <c r="I33" i="2"/>
  <c r="G32" i="2"/>
  <c r="I32" i="2" s="1"/>
  <c r="G31" i="2" l="1"/>
  <c r="I31" i="2" s="1"/>
  <c r="I36" i="2" s="1"/>
  <c r="C41" i="2" l="1"/>
  <c r="C42" i="2" s="1"/>
  <c r="I4" i="2"/>
  <c r="I37" i="2" l="1"/>
</calcChain>
</file>

<file path=xl/sharedStrings.xml><?xml version="1.0" encoding="utf-8"?>
<sst xmlns="http://schemas.openxmlformats.org/spreadsheetml/2006/main" count="111" uniqueCount="77">
  <si>
    <t xml:space="preserve">Date: </t>
  </si>
  <si>
    <t>Name</t>
  </si>
  <si>
    <t>KEYMAN INSURANCE QUOTATION SLIP</t>
  </si>
  <si>
    <t>Insured Client:</t>
  </si>
  <si>
    <t>Sum Assured</t>
  </si>
  <si>
    <t>Insurance Cover Details</t>
  </si>
  <si>
    <t>:</t>
  </si>
  <si>
    <t>Age next birthday</t>
  </si>
  <si>
    <t>Premium Details</t>
  </si>
  <si>
    <t>Risk Class</t>
  </si>
  <si>
    <t>Benefit Type</t>
  </si>
  <si>
    <t>Level of Cover</t>
  </si>
  <si>
    <t>Premiums</t>
  </si>
  <si>
    <t>Accidental, Illness &amp; Natural Risks</t>
  </si>
  <si>
    <t>Death</t>
  </si>
  <si>
    <t>Permanent &amp; Total Disability</t>
  </si>
  <si>
    <t>Total Initial Annual Premium (KES)</t>
  </si>
  <si>
    <t>Renewal Annual Premium (USD)</t>
  </si>
  <si>
    <t>Scope of Cover</t>
  </si>
  <si>
    <t>Cover on 24 hours worldwide basis</t>
  </si>
  <si>
    <t>Age Limit: 18 - 65 Years.</t>
  </si>
  <si>
    <t xml:space="preserve">No exclusion on HIV/AIDS deaths and passive war, Invasion, Act of Foreign Enemy, Hostility or Warlike operation, Civil War, Rebellion, Revolution, Insurrection, Military or usurped power or popular rising martial law, strike, riot, civil commotion or mutiny.
</t>
  </si>
  <si>
    <t>Cover Requirements</t>
  </si>
  <si>
    <t>Duly Completed Keyman Proposal Form</t>
  </si>
  <si>
    <t>Signed for and on behalf of:</t>
  </si>
  <si>
    <t>Organization</t>
  </si>
  <si>
    <t>INDIVIDUAL TERM ASSURANCE</t>
  </si>
  <si>
    <t>Annual premium payable per Ksh1000 Sum Assured</t>
  </si>
  <si>
    <t>Age Next Birthday</t>
  </si>
  <si>
    <t>Annual Premium</t>
  </si>
  <si>
    <t xml:space="preserve">Quotation No: </t>
  </si>
  <si>
    <t>Policy Commencement :</t>
  </si>
  <si>
    <t>Annual Cover</t>
  </si>
  <si>
    <t>*Enter data in cells shaded light blue</t>
  </si>
  <si>
    <t>CORPORATE BUSINESS</t>
  </si>
  <si>
    <t>SANLAM Life Insurance Limited</t>
  </si>
  <si>
    <t>SANLAM LIFE INSURANCE LIMITED</t>
  </si>
  <si>
    <t>NB: Please note that the premiums quoted above are provisional and are subject to change based on the medical report and financial underwriting questionnaire received</t>
  </si>
  <si>
    <t>Benefit</t>
  </si>
  <si>
    <t>Sum assured</t>
  </si>
  <si>
    <t>Death (Illness, Accident, Natural Causes)</t>
  </si>
  <si>
    <t>Permanent Total Disability (Illness &amp; Accident)</t>
  </si>
  <si>
    <t>Critical Illness (Stand Alone)</t>
  </si>
  <si>
    <t>30% of Sum Assured Subject to Maximum of 12 Million</t>
  </si>
  <si>
    <t>Last Expense (Stand Alone)</t>
  </si>
  <si>
    <t>Kes 300,000.00</t>
  </si>
  <si>
    <t>Free Cover Limit</t>
  </si>
  <si>
    <t>Kes. 40 Million</t>
  </si>
  <si>
    <t>Rate per mille per Annum</t>
  </si>
  <si>
    <t>Last Expense (Standalone)</t>
  </si>
  <si>
    <t>Critical Illness (Standalone)</t>
  </si>
  <si>
    <t xml:space="preserve">BBK Keyman </t>
  </si>
  <si>
    <t>TBA</t>
  </si>
  <si>
    <t>Permanent &amp; Total Disability(Accelerated)</t>
  </si>
  <si>
    <t>Critical Illness at 30% of Sum Assured(Accelerated)</t>
  </si>
  <si>
    <t>Last Expense</t>
  </si>
  <si>
    <t>Compliance by the member to medical examination for members above 46 years of age and sum assured above Ksh 30 Million</t>
  </si>
  <si>
    <t>Duly Completed Declaration of Health questionaire for sum assureds above Ksh 15 Million</t>
  </si>
  <si>
    <t>Completed Financial Underwriting Questionnaire</t>
  </si>
  <si>
    <t>Stella Kamau</t>
  </si>
  <si>
    <t>Total Premium (KES)</t>
  </si>
  <si>
    <t>Date of Birth:</t>
  </si>
  <si>
    <t>Deborah Ndung'u</t>
  </si>
  <si>
    <t>Age Limit: 18 - 75 years.  Maximum eligibility ages for Crtical illness and Death/Permanent &amp; Total Disability benefits are 64 and 69 years respectively.</t>
  </si>
  <si>
    <t>Duly Completed Financial Underwriting Questionnaire</t>
  </si>
  <si>
    <t>Duly Completed Declaration of Good Health Questionaire for sum assureds above Ksh 15 Million</t>
  </si>
  <si>
    <r>
      <t xml:space="preserve">Compliance by the member to medical examination for members above </t>
    </r>
    <r>
      <rPr>
        <b/>
        <sz val="12"/>
        <color rgb="FF002060"/>
        <rFont val="Arial Narrow"/>
        <family val="2"/>
      </rPr>
      <t>46 years</t>
    </r>
    <r>
      <rPr>
        <sz val="12"/>
        <color rgb="FF002060"/>
        <rFont val="Arial Narrow"/>
        <family val="2"/>
      </rPr>
      <t xml:space="preserve"> of age and sum assured above </t>
    </r>
    <r>
      <rPr>
        <b/>
        <sz val="12"/>
        <color rgb="FF002060"/>
        <rFont val="Arial Narrow"/>
        <family val="2"/>
      </rPr>
      <t>Ksh 30 Million</t>
    </r>
  </si>
  <si>
    <r>
      <t xml:space="preserve">Compliance by the member to medical examination for sum assured above </t>
    </r>
    <r>
      <rPr>
        <b/>
        <sz val="12"/>
        <color rgb="FF002060"/>
        <rFont val="Arial Narrow"/>
        <family val="2"/>
      </rPr>
      <t>Ksh 40 Million</t>
    </r>
  </si>
  <si>
    <t xml:space="preserve">Quote Creation Date: </t>
  </si>
  <si>
    <t xml:space="preserve">Age </t>
  </si>
  <si>
    <t>Company Name</t>
  </si>
  <si>
    <t xml:space="preserve">Duly signed and stamped Loan offer Letter </t>
  </si>
  <si>
    <t>Business Owner/Partner's/Director's Identification Documents</t>
  </si>
  <si>
    <t>KRA Pin, Certiificate of  Registration / Incorporation &amp; CR12/ Shareholding percentage (Company’s &amp; Partner's/Director's)</t>
  </si>
  <si>
    <t>Audited Financials/Assets for sum assured above Ksh 30 Million</t>
  </si>
  <si>
    <t>*Enter data in cells shaded in color yellow</t>
  </si>
  <si>
    <t xml:space="preserve">For Short term facilities (Short terms loans, Overdraft facilities and Credit cards) A waiting period of 1 month from the commencement date of the cover is applicable. The outstanding balance of the amount equivalent to the overdrawn/accessed/utilized amount is payable to the policy holder in case of death, permanent disability or critical illness.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</si>
</sst>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00_-;\-* #,##0.00_-;_-* &quot;-&quot;??_-;_-@_-"/>
    <numFmt numFmtId="165" formatCode="[$-809]dd\ mmmm\ yyyy;@"/>
    <numFmt numFmtId="166" formatCode="_([$KES]\ * #,##0.00_);_([$KES]\ * \(#,##0.00\);_([$KES]\ * &quot;-&quot;??_);_(@_)"/>
    <numFmt numFmtId="167" formatCode="[$USD]\ #,##0;[Red][$USD]\ #,##0"/>
    <numFmt numFmtId="168" formatCode="#,##0_ ;[Red]\-#,##0\ "/>
    <numFmt numFmtId="169" formatCode="[$-409]d\-mmm\-yy;@"/>
    <numFmt numFmtId="170" formatCode="#,##0;[Red]#,##0"/>
    <numFmt numFmtId="171" formatCode="_(* #,##0_);_(* \(#,##0\);_(* &quot;-&quot;??_);_(@_)"/>
    <numFmt numFmtId="172" formatCode="#,##0_ ;\-#,##0\ "/>
    <numFmt numFmtId="173" formatCode="_([$KES]\ * #,##0_);_([$KES]\ * \(#,##0\);_([$KES]\ * &quot;-&quot;??_);_(@_)"/>
  </numFmts>
  <fonts count="23">
    <font>
      <sz val="10"/>
      <name val="Arial"/>
      <family val="2"/>
    </font>
    <font>
      <sz val="10"/>
      <name val="Arial"/>
      <family val="2"/>
    </font>
    <font>
      <sz val="12"/>
      <name val="Arial"/>
      <family val="2"/>
    </font>
    <font>
      <b/>
      <sz val="12"/>
      <name val="Arial"/>
      <family val="2"/>
    </font>
    <font>
      <sz val="11"/>
      <name val="Arial"/>
      <family val="2"/>
    </font>
    <font>
      <sz val="12"/>
      <name val="Arial Narrow"/>
      <family val="2"/>
    </font>
    <font>
      <b/>
      <sz val="12"/>
      <name val="Arial Narrow"/>
      <family val="2"/>
    </font>
    <font>
      <sz val="11"/>
      <name val="Arial Narrow"/>
      <family val="2"/>
    </font>
    <font>
      <b/>
      <sz val="18"/>
      <color rgb="FF002060"/>
      <name val="Arial Narrow"/>
      <family val="2"/>
    </font>
    <font>
      <b/>
      <sz val="12"/>
      <color rgb="FF002060"/>
      <name val="Arial Narrow"/>
      <family val="2"/>
    </font>
    <font>
      <sz val="12"/>
      <color rgb="FF002060"/>
      <name val="Arial Narrow"/>
      <family val="2"/>
    </font>
    <font>
      <b/>
      <u/>
      <sz val="12"/>
      <color rgb="FF002060"/>
      <name val="Arial Narrow"/>
      <family val="2"/>
    </font>
    <font>
      <sz val="10"/>
      <color rgb="FF002060"/>
      <name val="Arial Narrow"/>
      <family val="2"/>
    </font>
    <font>
      <b/>
      <sz val="14"/>
      <color rgb="FF002060"/>
      <name val="Arial Narrow"/>
      <family val="2"/>
    </font>
    <font>
      <b/>
      <i/>
      <sz val="14"/>
      <color rgb="FF002060"/>
      <name val="Arial Narrow"/>
      <family val="2"/>
    </font>
    <font>
      <b/>
      <sz val="11"/>
      <color rgb="FF002060"/>
      <name val="Arial Narrow"/>
      <family val="2"/>
    </font>
    <font>
      <b/>
      <sz val="11"/>
      <name val="Arial Narrow"/>
      <family val="2"/>
    </font>
    <font>
      <sz val="10"/>
      <name val="Barclays Sans"/>
    </font>
    <font>
      <sz val="10"/>
      <name val="Times New Roman"/>
      <family val="1"/>
    </font>
    <font>
      <sz val="26"/>
      <color rgb="FF002060"/>
      <name val="Brush Script MT"/>
      <family val="4"/>
    </font>
    <font>
      <sz val="10"/>
      <name val="Brush Script MT"/>
      <family val="4"/>
    </font>
    <font>
      <sz val="14"/>
      <color rgb="FF002060"/>
      <name val="Blackadder ITC"/>
      <family val="5"/>
    </font>
    <font>
      <sz val="14"/>
      <name val="Blackadder ITC"/>
      <family val="5"/>
    </font>
  </fonts>
  <fills count="5">
    <fill>
      <patternFill patternType="none"/>
    </fill>
    <fill>
      <patternFill patternType="gray125"/>
    </fill>
    <fill>
      <patternFill patternType="solid">
        <fgColor rgb="FFD7D0CC"/>
        <bgColor indexed="64"/>
      </patternFill>
    </fill>
    <fill>
      <patternFill patternType="solid">
        <fgColor theme="4" tint="0.79998168889431442"/>
        <bgColor indexed="64"/>
      </patternFill>
    </fill>
    <fill>
      <patternFill patternType="solid">
        <fgColor rgb="FFFFFF00"/>
        <bgColor indexed="64"/>
      </patternFill>
    </fill>
  </fills>
  <borders count="44">
    <border>
      <left/>
      <right/>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right style="medium">
        <color indexed="64"/>
      </right>
      <top/>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theme="0" tint="-0.34998626667073579"/>
      </right>
      <top style="medium">
        <color indexed="64"/>
      </top>
      <bottom style="thin">
        <color theme="0" tint="-0.34998626667073579"/>
      </bottom>
      <diagonal/>
    </border>
    <border>
      <left style="thin">
        <color theme="0" tint="-0.34998626667073579"/>
      </left>
      <right style="thin">
        <color theme="0" tint="-0.34998626667073579"/>
      </right>
      <top style="medium">
        <color indexed="64"/>
      </top>
      <bottom style="thin">
        <color theme="0" tint="-0.34998626667073579"/>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top style="medium">
        <color indexed="64"/>
      </top>
      <bottom/>
      <diagonal/>
    </border>
    <border>
      <left/>
      <right/>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medium">
        <color indexed="64"/>
      </left>
      <right/>
      <top style="medium">
        <color indexed="64"/>
      </top>
      <bottom style="thin">
        <color theme="0" tint="-0.24994659260841701"/>
      </bottom>
      <diagonal/>
    </border>
    <border>
      <left/>
      <right style="medium">
        <color indexed="64"/>
      </right>
      <top style="medium">
        <color indexed="64"/>
      </top>
      <bottom style="thin">
        <color theme="0" tint="-0.24994659260841701"/>
      </bottom>
      <diagonal/>
    </border>
    <border>
      <left style="medium">
        <color indexed="64"/>
      </left>
      <right/>
      <top style="thin">
        <color theme="0" tint="-0.24994659260841701"/>
      </top>
      <bottom style="thin">
        <color theme="0" tint="-0.24994659260841701"/>
      </bottom>
      <diagonal/>
    </border>
    <border>
      <left/>
      <right style="medium">
        <color indexed="64"/>
      </right>
      <top style="thin">
        <color theme="0" tint="-0.24994659260841701"/>
      </top>
      <bottom style="thin">
        <color theme="0" tint="-0.24994659260841701"/>
      </bottom>
      <diagonal/>
    </border>
    <border>
      <left style="thin">
        <color theme="0" tint="-0.34998626667073579"/>
      </left>
      <right/>
      <top style="medium">
        <color indexed="64"/>
      </top>
      <bottom style="thin">
        <color theme="0" tint="-0.34998626667073579"/>
      </bottom>
      <diagonal/>
    </border>
    <border>
      <left/>
      <right style="medium">
        <color indexed="64"/>
      </right>
      <top style="medium">
        <color indexed="64"/>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medium">
        <color indexed="64"/>
      </right>
      <top style="thin">
        <color theme="0" tint="-0.34998626667073579"/>
      </top>
      <bottom style="thin">
        <color theme="0" tint="-0.34998626667073579"/>
      </bottom>
      <diagonal/>
    </border>
    <border>
      <left style="medium">
        <color indexed="64"/>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s>
  <cellStyleXfs count="12">
    <xf numFmtId="0" fontId="0" fillId="0" borderId="0"/>
    <xf numFmtId="43"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cellStyleXfs>
  <cellXfs count="243">
    <xf numFmtId="0" fontId="0" fillId="0" borderId="0" xfId="0"/>
    <xf numFmtId="0" fontId="2" fillId="0" borderId="0" xfId="0" applyFont="1" applyAlignment="1">
      <alignment vertical="center"/>
    </xf>
    <xf numFmtId="16" fontId="2" fillId="0" borderId="0" xfId="0" applyNumberFormat="1" applyFont="1" applyAlignment="1">
      <alignment vertical="center"/>
    </xf>
    <xf numFmtId="14" fontId="2" fillId="0" borderId="0" xfId="0" applyNumberFormat="1" applyFont="1" applyAlignment="1">
      <alignment vertical="center"/>
    </xf>
    <xf numFmtId="43" fontId="2" fillId="0" borderId="0" xfId="1" applyFont="1" applyAlignment="1">
      <alignment vertical="center"/>
    </xf>
    <xf numFmtId="2" fontId="2" fillId="0" borderId="0" xfId="0" applyNumberFormat="1" applyFont="1" applyAlignment="1">
      <alignment vertical="center"/>
    </xf>
    <xf numFmtId="0" fontId="2" fillId="0" borderId="13" xfId="0" applyFont="1" applyBorder="1" applyAlignment="1">
      <alignment vertical="center"/>
    </xf>
    <xf numFmtId="0" fontId="2" fillId="0" borderId="23" xfId="0" applyFont="1" applyBorder="1" applyAlignment="1">
      <alignment vertical="center"/>
    </xf>
    <xf numFmtId="0" fontId="2" fillId="0" borderId="14" xfId="0" applyFont="1" applyBorder="1" applyAlignment="1">
      <alignment vertical="center"/>
    </xf>
    <xf numFmtId="0" fontId="2" fillId="0" borderId="5" xfId="0" applyFont="1" applyBorder="1" applyAlignment="1">
      <alignment vertical="center"/>
    </xf>
    <xf numFmtId="0" fontId="3" fillId="0" borderId="0" xfId="0" applyFont="1" applyAlignment="1">
      <alignment vertical="center"/>
    </xf>
    <xf numFmtId="0" fontId="2" fillId="0" borderId="4" xfId="0" applyFont="1" applyBorder="1" applyAlignment="1">
      <alignment vertical="center"/>
    </xf>
    <xf numFmtId="0" fontId="4" fillId="0" borderId="0" xfId="0" applyFont="1" applyAlignment="1">
      <alignment vertical="center"/>
    </xf>
    <xf numFmtId="0" fontId="5" fillId="0" borderId="5" xfId="0" applyFont="1" applyBorder="1" applyAlignment="1">
      <alignment vertical="center"/>
    </xf>
    <xf numFmtId="0" fontId="5" fillId="0" borderId="0" xfId="0" applyFont="1" applyAlignment="1">
      <alignment vertical="center"/>
    </xf>
    <xf numFmtId="0" fontId="6" fillId="0" borderId="0" xfId="0" applyFont="1" applyAlignment="1">
      <alignment vertical="center"/>
    </xf>
    <xf numFmtId="0" fontId="5" fillId="0" borderId="4" xfId="0" applyFont="1" applyBorder="1" applyAlignment="1">
      <alignment vertical="center"/>
    </xf>
    <xf numFmtId="0" fontId="7" fillId="0" borderId="0" xfId="0" applyFont="1" applyAlignment="1">
      <alignment vertical="center"/>
    </xf>
    <xf numFmtId="0" fontId="6" fillId="0" borderId="5" xfId="0" applyFont="1" applyBorder="1" applyAlignment="1">
      <alignment vertical="center"/>
    </xf>
    <xf numFmtId="0" fontId="9" fillId="0" borderId="0" xfId="0" applyFont="1" applyAlignment="1">
      <alignment vertical="center"/>
    </xf>
    <xf numFmtId="0" fontId="9" fillId="0" borderId="0" xfId="0" applyFont="1" applyAlignment="1">
      <alignment horizontal="right" vertical="center"/>
    </xf>
    <xf numFmtId="0" fontId="10" fillId="0" borderId="0" xfId="0" applyFont="1" applyAlignment="1">
      <alignment vertical="center"/>
    </xf>
    <xf numFmtId="0" fontId="10" fillId="0" borderId="4" xfId="0" applyFont="1" applyBorder="1" applyAlignment="1">
      <alignment vertical="center"/>
    </xf>
    <xf numFmtId="0" fontId="11" fillId="0" borderId="0" xfId="0" applyFont="1" applyAlignment="1">
      <alignment vertical="center"/>
    </xf>
    <xf numFmtId="0" fontId="5" fillId="0" borderId="6" xfId="0" applyFont="1" applyBorder="1" applyAlignment="1">
      <alignment vertical="center"/>
    </xf>
    <xf numFmtId="0" fontId="10" fillId="0" borderId="7" xfId="0" applyFont="1" applyBorder="1" applyAlignment="1">
      <alignment vertical="center"/>
    </xf>
    <xf numFmtId="0" fontId="10" fillId="0" borderId="8" xfId="0" applyFont="1" applyBorder="1" applyAlignment="1">
      <alignment vertical="center"/>
    </xf>
    <xf numFmtId="0" fontId="9" fillId="0" borderId="9" xfId="0" applyFont="1" applyBorder="1" applyAlignment="1">
      <alignment horizontal="center" vertical="center"/>
    </xf>
    <xf numFmtId="0" fontId="9" fillId="0" borderId="0" xfId="0" applyFont="1" applyAlignment="1">
      <alignment horizontal="center" vertical="center"/>
    </xf>
    <xf numFmtId="0" fontId="10" fillId="0" borderId="0" xfId="0" applyFont="1" applyAlignment="1">
      <alignment horizontal="center" vertical="center"/>
    </xf>
    <xf numFmtId="167" fontId="10" fillId="0" borderId="0" xfId="0" applyNumberFormat="1" applyFont="1" applyAlignment="1">
      <alignment horizontal="center" vertical="center"/>
    </xf>
    <xf numFmtId="0" fontId="9" fillId="0" borderId="10" xfId="0" applyFont="1" applyBorder="1" applyAlignment="1">
      <alignment vertical="center"/>
    </xf>
    <xf numFmtId="0" fontId="9" fillId="0" borderId="10" xfId="0" applyFont="1" applyBorder="1" applyAlignment="1">
      <alignment horizontal="center" vertical="center"/>
    </xf>
    <xf numFmtId="167" fontId="9" fillId="0" borderId="10" xfId="0" applyNumberFormat="1" applyFont="1" applyBorder="1" applyAlignment="1">
      <alignment horizontal="center" vertical="center"/>
    </xf>
    <xf numFmtId="0" fontId="9" fillId="0" borderId="0" xfId="0" applyFont="1" applyAlignment="1">
      <alignment horizontal="left" vertical="center"/>
    </xf>
    <xf numFmtId="0" fontId="6" fillId="0" borderId="5" xfId="0" applyFont="1" applyBorder="1" applyAlignment="1">
      <alignment vertical="center" wrapText="1"/>
    </xf>
    <xf numFmtId="4" fontId="9" fillId="0" borderId="4" xfId="0" applyNumberFormat="1" applyFont="1" applyBorder="1" applyAlignment="1">
      <alignment vertical="center"/>
    </xf>
    <xf numFmtId="0" fontId="10" fillId="0" borderId="4" xfId="0" applyFont="1" applyBorder="1" applyAlignment="1">
      <alignment vertical="center" wrapText="1"/>
    </xf>
    <xf numFmtId="0" fontId="10" fillId="0" borderId="0" xfId="0" applyFont="1" applyAlignment="1">
      <alignment horizontal="justify" vertical="center" wrapText="1"/>
    </xf>
    <xf numFmtId="0" fontId="5" fillId="0" borderId="20" xfId="0" applyFont="1" applyBorder="1" applyAlignment="1">
      <alignment vertical="center"/>
    </xf>
    <xf numFmtId="0" fontId="10" fillId="0" borderId="9" xfId="0" applyFont="1" applyBorder="1" applyAlignment="1">
      <alignment vertical="center"/>
    </xf>
    <xf numFmtId="0" fontId="10" fillId="0" borderId="21" xfId="0" applyFont="1" applyBorder="1" applyAlignment="1">
      <alignment vertical="center"/>
    </xf>
    <xf numFmtId="0" fontId="15" fillId="0" borderId="0" xfId="0" applyFont="1" applyAlignment="1">
      <alignment vertical="center"/>
    </xf>
    <xf numFmtId="0" fontId="5" fillId="0" borderId="22" xfId="0" applyFont="1" applyBorder="1" applyAlignment="1">
      <alignment vertical="center"/>
    </xf>
    <xf numFmtId="0" fontId="10" fillId="0" borderId="3" xfId="0" applyFont="1" applyBorder="1" applyAlignment="1">
      <alignment vertical="center"/>
    </xf>
    <xf numFmtId="0" fontId="10" fillId="0" borderId="2" xfId="0" applyFont="1" applyBorder="1" applyAlignment="1">
      <alignment vertical="center"/>
    </xf>
    <xf numFmtId="0" fontId="5" fillId="3" borderId="0" xfId="0" applyFont="1" applyFill="1" applyAlignment="1" applyProtection="1">
      <alignment vertical="center"/>
      <protection locked="0"/>
    </xf>
    <xf numFmtId="0" fontId="9" fillId="3" borderId="0" xfId="0" applyFont="1" applyFill="1" applyAlignment="1" applyProtection="1">
      <alignment vertical="center"/>
      <protection locked="0"/>
    </xf>
    <xf numFmtId="170" fontId="10" fillId="3" borderId="10" xfId="0" applyNumberFormat="1" applyFont="1" applyFill="1" applyBorder="1" applyAlignment="1" applyProtection="1">
      <alignment horizontal="center" vertical="center"/>
      <protection locked="0"/>
    </xf>
    <xf numFmtId="0" fontId="2" fillId="3" borderId="23" xfId="0" applyFont="1" applyFill="1" applyBorder="1" applyAlignment="1">
      <alignment vertical="center"/>
    </xf>
    <xf numFmtId="0" fontId="16" fillId="0" borderId="0" xfId="0" applyFont="1"/>
    <xf numFmtId="0" fontId="7" fillId="0" borderId="0" xfId="0" applyFont="1"/>
    <xf numFmtId="2" fontId="7" fillId="0" borderId="0" xfId="0" applyNumberFormat="1" applyFont="1"/>
    <xf numFmtId="9" fontId="7" fillId="0" borderId="0" xfId="0" applyNumberFormat="1" applyFont="1"/>
    <xf numFmtId="14" fontId="7" fillId="0" borderId="0" xfId="0" applyNumberFormat="1" applyFont="1"/>
    <xf numFmtId="171" fontId="7" fillId="0" borderId="0" xfId="1" applyNumberFormat="1" applyFont="1"/>
    <xf numFmtId="43" fontId="7" fillId="0" borderId="0" xfId="1" applyFont="1"/>
    <xf numFmtId="43" fontId="7" fillId="0" borderId="0" xfId="0" applyNumberFormat="1" applyFont="1"/>
    <xf numFmtId="171" fontId="7" fillId="0" borderId="0" xfId="0" applyNumberFormat="1" applyFont="1"/>
    <xf numFmtId="0" fontId="9" fillId="2" borderId="5" xfId="2" applyFont="1" applyFill="1" applyBorder="1" applyAlignment="1" applyProtection="1">
      <alignment horizontal="center" vertical="center" wrapText="1"/>
      <protection hidden="1"/>
    </xf>
    <xf numFmtId="0" fontId="9" fillId="2" borderId="4" xfId="2" applyFont="1" applyFill="1" applyBorder="1" applyAlignment="1" applyProtection="1">
      <alignment horizontal="center" vertical="center" wrapText="1"/>
      <protection hidden="1"/>
    </xf>
    <xf numFmtId="0" fontId="17" fillId="0" borderId="27" xfId="0" applyFont="1" applyBorder="1" applyAlignment="1">
      <alignment vertical="top" wrapText="1"/>
    </xf>
    <xf numFmtId="0" fontId="17" fillId="0" borderId="1" xfId="0" applyFont="1" applyBorder="1" applyAlignment="1">
      <alignment vertical="top" wrapText="1"/>
    </xf>
    <xf numFmtId="0" fontId="17" fillId="0" borderId="28" xfId="0" applyFont="1" applyBorder="1" applyAlignment="1">
      <alignment vertical="top" wrapText="1"/>
    </xf>
    <xf numFmtId="9" fontId="17" fillId="0" borderId="2" xfId="0" applyNumberFormat="1" applyFont="1" applyBorder="1" applyAlignment="1">
      <alignment vertical="top" wrapText="1"/>
    </xf>
    <xf numFmtId="0" fontId="17" fillId="0" borderId="2" xfId="0" applyFont="1" applyBorder="1" applyAlignment="1">
      <alignment vertical="top" wrapText="1"/>
    </xf>
    <xf numFmtId="0" fontId="18" fillId="0" borderId="4" xfId="0" applyFont="1" applyBorder="1" applyAlignment="1">
      <alignment vertical="top" wrapText="1"/>
    </xf>
    <xf numFmtId="0" fontId="18" fillId="0" borderId="2" xfId="0" applyFont="1" applyBorder="1" applyAlignment="1">
      <alignment vertical="top" wrapText="1"/>
    </xf>
    <xf numFmtId="0" fontId="17" fillId="0" borderId="29" xfId="0" applyFont="1" applyBorder="1" applyAlignment="1">
      <alignment vertical="top" wrapText="1"/>
    </xf>
    <xf numFmtId="0" fontId="0" fillId="0" borderId="0" xfId="0" applyAlignment="1">
      <alignment horizontal="justify" vertical="center" wrapText="1"/>
    </xf>
    <xf numFmtId="0" fontId="10" fillId="3" borderId="0" xfId="0" applyFont="1" applyFill="1" applyAlignment="1" applyProtection="1">
      <alignment vertical="center"/>
      <protection locked="0"/>
    </xf>
    <xf numFmtId="166" fontId="10" fillId="3" borderId="0" xfId="0" applyNumberFormat="1" applyFont="1" applyFill="1" applyAlignment="1" applyProtection="1">
      <alignment vertical="center"/>
      <protection locked="0"/>
    </xf>
    <xf numFmtId="169" fontId="9" fillId="4" borderId="27" xfId="0" applyNumberFormat="1" applyFont="1" applyFill="1" applyBorder="1" applyAlignment="1" applyProtection="1">
      <alignment horizontal="right" vertical="center"/>
      <protection locked="0"/>
    </xf>
    <xf numFmtId="169" fontId="9" fillId="4" borderId="27" xfId="0" applyNumberFormat="1" applyFont="1" applyFill="1" applyBorder="1" applyAlignment="1" applyProtection="1">
      <alignment vertical="center"/>
      <protection locked="0"/>
    </xf>
    <xf numFmtId="166" fontId="9" fillId="4" borderId="27" xfId="0" applyNumberFormat="1" applyFont="1" applyFill="1" applyBorder="1" applyAlignment="1" applyProtection="1">
      <alignment vertical="center"/>
      <protection locked="0"/>
    </xf>
    <xf numFmtId="0" fontId="9" fillId="4" borderId="27" xfId="0" applyFont="1" applyFill="1" applyBorder="1" applyAlignment="1" applyProtection="1">
      <alignment horizontal="center" vertical="center"/>
      <protection locked="0"/>
    </xf>
    <xf numFmtId="166" fontId="9" fillId="0" borderId="1" xfId="0" applyNumberFormat="1" applyFont="1" applyBorder="1" applyAlignment="1" applyProtection="1">
      <alignment vertical="center"/>
      <protection locked="0"/>
    </xf>
    <xf numFmtId="0" fontId="2" fillId="0" borderId="0" xfId="0" applyFont="1" applyAlignment="1" applyProtection="1">
      <alignment vertical="center"/>
      <protection locked="0"/>
    </xf>
    <xf numFmtId="0" fontId="2" fillId="0" borderId="13" xfId="0" applyFont="1" applyBorder="1" applyAlignment="1" applyProtection="1">
      <alignment vertical="center"/>
      <protection locked="0"/>
    </xf>
    <xf numFmtId="0" fontId="2" fillId="0" borderId="23" xfId="0" applyFont="1" applyBorder="1" applyAlignment="1" applyProtection="1">
      <alignment vertical="center"/>
      <protection locked="0"/>
    </xf>
    <xf numFmtId="0" fontId="2" fillId="3" borderId="23" xfId="0" applyFont="1" applyFill="1" applyBorder="1" applyAlignment="1" applyProtection="1">
      <alignment vertical="center"/>
      <protection locked="0"/>
    </xf>
    <xf numFmtId="0" fontId="2" fillId="0" borderId="14" xfId="0" applyFont="1" applyBorder="1" applyAlignment="1" applyProtection="1">
      <alignment vertical="center"/>
      <protection locked="0"/>
    </xf>
    <xf numFmtId="0" fontId="2" fillId="0" borderId="5" xfId="0" applyFont="1" applyBorder="1" applyAlignment="1" applyProtection="1">
      <alignment vertical="center"/>
      <protection locked="0"/>
    </xf>
    <xf numFmtId="0" fontId="3" fillId="0" borderId="0" xfId="0" applyFont="1" applyAlignment="1" applyProtection="1">
      <alignment vertical="center"/>
      <protection locked="0"/>
    </xf>
    <xf numFmtId="0" fontId="2" fillId="0" borderId="4" xfId="0" applyFont="1" applyBorder="1" applyAlignment="1" applyProtection="1">
      <alignment vertical="center"/>
      <protection locked="0"/>
    </xf>
    <xf numFmtId="0" fontId="4" fillId="0" borderId="0" xfId="0" applyFont="1" applyAlignment="1" applyProtection="1">
      <alignment vertical="center"/>
      <protection locked="0"/>
    </xf>
    <xf numFmtId="0" fontId="5" fillId="0" borderId="5" xfId="0" applyFont="1" applyBorder="1" applyAlignment="1" applyProtection="1">
      <alignment vertical="center"/>
      <protection locked="0"/>
    </xf>
    <xf numFmtId="0" fontId="5" fillId="0" borderId="0" xfId="0" applyFont="1" applyAlignment="1" applyProtection="1">
      <alignment vertical="center"/>
      <protection locked="0"/>
    </xf>
    <xf numFmtId="0" fontId="6" fillId="0" borderId="0" xfId="0" applyFont="1" applyAlignment="1" applyProtection="1">
      <alignment vertical="center"/>
      <protection locked="0"/>
    </xf>
    <xf numFmtId="0" fontId="5" fillId="0" borderId="4" xfId="0" applyFont="1" applyBorder="1" applyAlignment="1" applyProtection="1">
      <alignment vertical="center"/>
      <protection locked="0"/>
    </xf>
    <xf numFmtId="169" fontId="5" fillId="4" borderId="27" xfId="0" applyNumberFormat="1" applyFont="1" applyFill="1" applyBorder="1" applyAlignment="1" applyProtection="1">
      <alignment horizontal="left" vertical="center"/>
      <protection locked="0"/>
    </xf>
    <xf numFmtId="14" fontId="2" fillId="0" borderId="0" xfId="0" applyNumberFormat="1" applyFont="1" applyAlignment="1" applyProtection="1">
      <alignment vertical="center"/>
      <protection locked="0"/>
    </xf>
    <xf numFmtId="0" fontId="7" fillId="0" borderId="0" xfId="0" applyFont="1" applyAlignment="1" applyProtection="1">
      <alignment vertical="center"/>
      <protection locked="0"/>
    </xf>
    <xf numFmtId="16" fontId="2" fillId="0" borderId="0" xfId="0" applyNumberFormat="1" applyFont="1" applyAlignment="1" applyProtection="1">
      <alignment vertical="center"/>
      <protection locked="0"/>
    </xf>
    <xf numFmtId="2" fontId="2" fillId="0" borderId="0" xfId="0" applyNumberFormat="1" applyFont="1" applyAlignment="1" applyProtection="1">
      <alignment vertical="center"/>
      <protection locked="0"/>
    </xf>
    <xf numFmtId="0" fontId="5" fillId="0" borderId="13" xfId="0" applyFont="1" applyBorder="1" applyAlignment="1" applyProtection="1">
      <alignment vertical="center"/>
      <protection locked="0"/>
    </xf>
    <xf numFmtId="0" fontId="5" fillId="0" borderId="23" xfId="0" applyFont="1" applyBorder="1" applyAlignment="1" applyProtection="1">
      <alignment vertical="center"/>
      <protection locked="0"/>
    </xf>
    <xf numFmtId="0" fontId="6" fillId="0" borderId="23" xfId="0" applyFont="1" applyBorder="1" applyAlignment="1" applyProtection="1">
      <alignment vertical="center"/>
      <protection locked="0"/>
    </xf>
    <xf numFmtId="0" fontId="5" fillId="0" borderId="14" xfId="0" applyFont="1" applyBorder="1" applyAlignment="1" applyProtection="1">
      <alignment vertical="center"/>
      <protection locked="0"/>
    </xf>
    <xf numFmtId="0" fontId="6" fillId="0" borderId="5" xfId="0" applyFont="1" applyBorder="1" applyAlignment="1" applyProtection="1">
      <alignment vertical="center"/>
      <protection locked="0"/>
    </xf>
    <xf numFmtId="0" fontId="9" fillId="0" borderId="0" xfId="0" applyFont="1" applyAlignment="1" applyProtection="1">
      <alignment vertical="center"/>
      <protection locked="0"/>
    </xf>
    <xf numFmtId="0" fontId="9" fillId="0" borderId="0" xfId="0" applyFont="1" applyAlignment="1" applyProtection="1">
      <alignment horizontal="right" vertical="center"/>
      <protection locked="0"/>
    </xf>
    <xf numFmtId="0" fontId="10" fillId="0" borderId="0" xfId="0" applyFont="1" applyAlignment="1" applyProtection="1">
      <alignment vertical="center"/>
      <protection locked="0"/>
    </xf>
    <xf numFmtId="0" fontId="10" fillId="0" borderId="4" xfId="0" applyFont="1" applyBorder="1" applyAlignment="1" applyProtection="1">
      <alignment vertical="center"/>
      <protection locked="0"/>
    </xf>
    <xf numFmtId="0" fontId="11" fillId="0" borderId="0" xfId="0" applyFont="1" applyAlignment="1" applyProtection="1">
      <alignment vertical="center"/>
      <protection locked="0"/>
    </xf>
    <xf numFmtId="14" fontId="10" fillId="0" borderId="0" xfId="0" applyNumberFormat="1" applyFont="1" applyAlignment="1" applyProtection="1">
      <alignment vertical="center"/>
      <protection locked="0"/>
    </xf>
    <xf numFmtId="0" fontId="5" fillId="0" borderId="6" xfId="0" applyFont="1" applyBorder="1" applyAlignment="1" applyProtection="1">
      <alignment vertical="center"/>
      <protection locked="0"/>
    </xf>
    <xf numFmtId="0" fontId="10" fillId="0" borderId="7" xfId="0" applyFont="1" applyBorder="1" applyAlignment="1" applyProtection="1">
      <alignment vertical="center"/>
      <protection locked="0"/>
    </xf>
    <xf numFmtId="0" fontId="10" fillId="0" borderId="8" xfId="0" applyFont="1" applyBorder="1" applyAlignment="1" applyProtection="1">
      <alignment vertical="center"/>
      <protection locked="0"/>
    </xf>
    <xf numFmtId="0" fontId="9" fillId="0" borderId="9" xfId="0" applyFont="1" applyBorder="1" applyAlignment="1" applyProtection="1">
      <alignment horizontal="center" vertical="center"/>
      <protection locked="0"/>
    </xf>
    <xf numFmtId="0" fontId="9" fillId="0" borderId="0" xfId="0" applyFont="1" applyAlignment="1" applyProtection="1">
      <alignment horizontal="center" vertical="center"/>
      <protection locked="0"/>
    </xf>
    <xf numFmtId="0" fontId="10" fillId="0" borderId="0" xfId="0" applyFont="1" applyAlignment="1" applyProtection="1">
      <alignment horizontal="center" vertical="center"/>
      <protection locked="0"/>
    </xf>
    <xf numFmtId="0" fontId="9" fillId="0" borderId="42" xfId="0" applyFont="1" applyBorder="1" applyAlignment="1" applyProtection="1">
      <alignment vertical="center"/>
      <protection locked="0"/>
    </xf>
    <xf numFmtId="0" fontId="9" fillId="0" borderId="43" xfId="0" applyFont="1" applyBorder="1" applyAlignment="1" applyProtection="1">
      <alignment vertical="center"/>
      <protection locked="0"/>
    </xf>
    <xf numFmtId="0" fontId="9" fillId="0" borderId="27" xfId="0" applyFont="1" applyBorder="1" applyAlignment="1" applyProtection="1">
      <alignment horizontal="center" vertical="center"/>
      <protection locked="0"/>
    </xf>
    <xf numFmtId="167" fontId="9" fillId="0" borderId="1" xfId="0" applyNumberFormat="1" applyFont="1" applyBorder="1" applyAlignment="1" applyProtection="1">
      <alignment horizontal="center" vertical="center"/>
      <protection locked="0"/>
    </xf>
    <xf numFmtId="0" fontId="9" fillId="0" borderId="0" xfId="0" applyFont="1" applyAlignment="1" applyProtection="1">
      <alignment horizontal="left" vertical="center"/>
      <protection locked="0"/>
    </xf>
    <xf numFmtId="43" fontId="2" fillId="0" borderId="0" xfId="1" applyFont="1" applyBorder="1" applyAlignment="1" applyProtection="1">
      <alignment vertical="center"/>
      <protection locked="0"/>
    </xf>
    <xf numFmtId="0" fontId="6" fillId="0" borderId="5" xfId="0" applyFont="1" applyBorder="1" applyAlignment="1" applyProtection="1">
      <alignment vertical="center" wrapText="1"/>
      <protection locked="0"/>
    </xf>
    <xf numFmtId="4" fontId="9" fillId="0" borderId="4" xfId="0" applyNumberFormat="1" applyFont="1" applyBorder="1" applyAlignment="1" applyProtection="1">
      <alignment vertical="center"/>
      <protection locked="0"/>
    </xf>
    <xf numFmtId="0" fontId="13" fillId="2" borderId="0" xfId="0" applyFont="1" applyFill="1" applyAlignment="1" applyProtection="1">
      <alignment horizontal="right" vertical="center"/>
      <protection locked="0"/>
    </xf>
    <xf numFmtId="168" fontId="13" fillId="2" borderId="0" xfId="0" applyNumberFormat="1" applyFont="1" applyFill="1" applyAlignment="1" applyProtection="1">
      <alignment horizontal="right" vertical="center"/>
      <protection locked="0"/>
    </xf>
    <xf numFmtId="0" fontId="10" fillId="0" borderId="4" xfId="0" applyFont="1" applyBorder="1" applyAlignment="1" applyProtection="1">
      <alignment vertical="center" wrapText="1"/>
      <protection locked="0"/>
    </xf>
    <xf numFmtId="0" fontId="10" fillId="0" borderId="0" xfId="0" applyFont="1" applyAlignment="1" applyProtection="1">
      <alignment horizontal="justify" vertical="center" wrapText="1"/>
      <protection locked="0"/>
    </xf>
    <xf numFmtId="0" fontId="10" fillId="0" borderId="0" xfId="0" applyFont="1" applyAlignment="1" applyProtection="1">
      <alignment vertical="center" wrapText="1"/>
      <protection locked="0"/>
    </xf>
    <xf numFmtId="0" fontId="10" fillId="0" borderId="0" xfId="0" applyFont="1" applyAlignment="1" applyProtection="1">
      <alignment horizontal="left" vertical="center" wrapText="1"/>
      <protection locked="0"/>
    </xf>
    <xf numFmtId="0" fontId="10" fillId="0" borderId="4" xfId="0" applyFont="1" applyBorder="1" applyAlignment="1" applyProtection="1">
      <alignment horizontal="left" vertical="center" wrapText="1"/>
      <protection locked="0"/>
    </xf>
    <xf numFmtId="0" fontId="9" fillId="0" borderId="0" xfId="0" applyFont="1" applyAlignment="1" applyProtection="1">
      <alignment vertical="center" wrapText="1"/>
      <protection locked="0"/>
    </xf>
    <xf numFmtId="0" fontId="9" fillId="0" borderId="4" xfId="0" applyFont="1" applyBorder="1" applyAlignment="1" applyProtection="1">
      <alignment vertical="center" wrapText="1"/>
      <protection locked="0"/>
    </xf>
    <xf numFmtId="0" fontId="5" fillId="0" borderId="22" xfId="0" applyFont="1" applyBorder="1" applyAlignment="1" applyProtection="1">
      <alignment vertical="center"/>
      <protection locked="0"/>
    </xf>
    <xf numFmtId="0" fontId="10" fillId="0" borderId="3" xfId="0" applyFont="1" applyBorder="1" applyAlignment="1" applyProtection="1">
      <alignment vertical="center"/>
      <protection locked="0"/>
    </xf>
    <xf numFmtId="0" fontId="2" fillId="0" borderId="2" xfId="0" applyFont="1" applyBorder="1" applyAlignment="1" applyProtection="1">
      <alignment vertical="center"/>
      <protection locked="0"/>
    </xf>
    <xf numFmtId="0" fontId="10" fillId="0" borderId="23" xfId="0" applyFont="1" applyBorder="1" applyAlignment="1" applyProtection="1">
      <alignment vertical="center"/>
      <protection locked="0"/>
    </xf>
    <xf numFmtId="0" fontId="2" fillId="0" borderId="3" xfId="0" applyFont="1" applyBorder="1" applyAlignment="1" applyProtection="1">
      <alignment vertical="center"/>
      <protection locked="0"/>
    </xf>
    <xf numFmtId="171" fontId="9" fillId="3" borderId="1" xfId="1" applyNumberFormat="1" applyFont="1" applyFill="1" applyBorder="1" applyAlignment="1" applyProtection="1">
      <alignment horizontal="left" vertical="center"/>
    </xf>
    <xf numFmtId="0" fontId="10" fillId="0" borderId="40" xfId="0" applyFont="1" applyBorder="1" applyAlignment="1" applyProtection="1">
      <alignment horizontal="left" vertical="center"/>
      <protection hidden="1"/>
    </xf>
    <xf numFmtId="0" fontId="10" fillId="0" borderId="41" xfId="0" applyFont="1" applyBorder="1" applyAlignment="1" applyProtection="1">
      <alignment horizontal="left" vertical="center"/>
      <protection hidden="1"/>
    </xf>
    <xf numFmtId="171" fontId="10" fillId="0" borderId="32" xfId="1" applyNumberFormat="1" applyFont="1" applyBorder="1" applyAlignment="1" applyProtection="1">
      <alignment horizontal="center" vertical="center"/>
      <protection hidden="1"/>
    </xf>
    <xf numFmtId="171" fontId="10" fillId="0" borderId="33" xfId="1" applyNumberFormat="1" applyFont="1" applyBorder="1" applyAlignment="1" applyProtection="1">
      <alignment horizontal="center" vertical="center"/>
      <protection hidden="1"/>
    </xf>
    <xf numFmtId="171" fontId="10" fillId="0" borderId="34" xfId="1" applyNumberFormat="1" applyFont="1" applyBorder="1" applyAlignment="1" applyProtection="1">
      <alignment horizontal="center" vertical="center"/>
      <protection hidden="1"/>
    </xf>
    <xf numFmtId="171" fontId="10" fillId="0" borderId="35" xfId="1" applyNumberFormat="1" applyFont="1" applyBorder="1" applyAlignment="1" applyProtection="1">
      <alignment horizontal="center" vertical="center"/>
      <protection hidden="1"/>
    </xf>
    <xf numFmtId="173" fontId="10" fillId="0" borderId="38" xfId="0" applyNumberFormat="1" applyFont="1" applyBorder="1" applyAlignment="1" applyProtection="1">
      <alignment horizontal="center" vertical="center"/>
      <protection hidden="1"/>
    </xf>
    <xf numFmtId="173" fontId="10" fillId="0" borderId="39" xfId="0" applyNumberFormat="1" applyFont="1" applyBorder="1" applyAlignment="1" applyProtection="1">
      <alignment horizontal="center" vertical="center"/>
      <protection hidden="1"/>
    </xf>
    <xf numFmtId="173" fontId="10" fillId="0" borderId="36" xfId="0" applyNumberFormat="1" applyFont="1" applyBorder="1" applyAlignment="1" applyProtection="1">
      <alignment horizontal="center" vertical="center"/>
      <protection hidden="1"/>
    </xf>
    <xf numFmtId="173" fontId="10" fillId="0" borderId="37" xfId="0" applyNumberFormat="1" applyFont="1" applyBorder="1" applyAlignment="1" applyProtection="1">
      <alignment horizontal="center" vertical="center"/>
      <protection hidden="1"/>
    </xf>
    <xf numFmtId="0" fontId="10" fillId="0" borderId="30" xfId="0" applyFont="1" applyBorder="1" applyAlignment="1" applyProtection="1">
      <alignment horizontal="left" vertical="center"/>
      <protection hidden="1"/>
    </xf>
    <xf numFmtId="0" fontId="10" fillId="0" borderId="31" xfId="0" applyFont="1" applyBorder="1" applyAlignment="1" applyProtection="1">
      <alignment horizontal="left" vertical="center"/>
      <protection hidden="1"/>
    </xf>
    <xf numFmtId="0" fontId="10" fillId="0" borderId="0" xfId="0" applyFont="1" applyAlignment="1">
      <alignment horizontal="justify" vertical="center" wrapText="1"/>
    </xf>
    <xf numFmtId="0" fontId="10" fillId="0" borderId="0" xfId="0" applyFont="1" applyAlignment="1">
      <alignment horizontal="left" vertical="center" wrapText="1"/>
    </xf>
    <xf numFmtId="0" fontId="9" fillId="3" borderId="23" xfId="11" applyFont="1" applyFill="1" applyBorder="1" applyAlignment="1" applyProtection="1">
      <alignment vertical="center"/>
      <protection locked="0"/>
    </xf>
    <xf numFmtId="0" fontId="0" fillId="0" borderId="23" xfId="0" applyBorder="1" applyAlignment="1">
      <alignment vertical="center"/>
    </xf>
    <xf numFmtId="0" fontId="13" fillId="2" borderId="17" xfId="0" applyFont="1" applyFill="1" applyBorder="1" applyAlignment="1" applyProtection="1">
      <alignment horizontal="right" vertical="center"/>
      <protection hidden="1"/>
    </xf>
    <xf numFmtId="0" fontId="13" fillId="2" borderId="18" xfId="0" applyFont="1" applyFill="1" applyBorder="1" applyAlignment="1" applyProtection="1">
      <alignment horizontal="right" vertical="center"/>
      <protection hidden="1"/>
    </xf>
    <xf numFmtId="0" fontId="13" fillId="2" borderId="19" xfId="0" applyFont="1" applyFill="1" applyBorder="1" applyAlignment="1" applyProtection="1">
      <alignment horizontal="right" vertical="center"/>
      <protection hidden="1"/>
    </xf>
    <xf numFmtId="168" fontId="13" fillId="2" borderId="17" xfId="0" applyNumberFormat="1" applyFont="1" applyFill="1" applyBorder="1" applyAlignment="1" applyProtection="1">
      <alignment horizontal="right" vertical="center"/>
      <protection hidden="1"/>
    </xf>
    <xf numFmtId="168" fontId="13" fillId="2" borderId="19" xfId="0" applyNumberFormat="1" applyFont="1" applyFill="1" applyBorder="1" applyAlignment="1" applyProtection="1">
      <alignment horizontal="right" vertical="center"/>
      <protection hidden="1"/>
    </xf>
    <xf numFmtId="0" fontId="13" fillId="2" borderId="17" xfId="0" applyFont="1" applyFill="1" applyBorder="1" applyAlignment="1">
      <alignment horizontal="right" vertical="center"/>
    </xf>
    <xf numFmtId="0" fontId="13" fillId="2" borderId="18" xfId="0" applyFont="1" applyFill="1" applyBorder="1" applyAlignment="1">
      <alignment horizontal="right" vertical="center"/>
    </xf>
    <xf numFmtId="0" fontId="13" fillId="2" borderId="19" xfId="0" applyFont="1" applyFill="1" applyBorder="1" applyAlignment="1">
      <alignment horizontal="right" vertical="center"/>
    </xf>
    <xf numFmtId="168" fontId="14" fillId="2" borderId="17" xfId="0" applyNumberFormat="1" applyFont="1" applyFill="1" applyBorder="1" applyAlignment="1">
      <alignment horizontal="right" vertical="center"/>
    </xf>
    <xf numFmtId="168" fontId="14" fillId="2" borderId="19" xfId="0" applyNumberFormat="1" applyFont="1" applyFill="1" applyBorder="1" applyAlignment="1">
      <alignment horizontal="right" vertical="center"/>
    </xf>
    <xf numFmtId="0" fontId="9" fillId="0" borderId="0" xfId="0" applyFont="1" applyAlignment="1">
      <alignment horizontal="justify" vertical="center" wrapText="1"/>
    </xf>
    <xf numFmtId="0" fontId="0" fillId="0" borderId="0" xfId="0" applyAlignment="1">
      <alignment horizontal="justify" vertical="center" wrapText="1"/>
    </xf>
    <xf numFmtId="0" fontId="9" fillId="3" borderId="0" xfId="11" applyFont="1" applyFill="1" applyAlignment="1" applyProtection="1">
      <alignment vertical="center"/>
      <protection locked="0"/>
    </xf>
    <xf numFmtId="0" fontId="0" fillId="0" borderId="0" xfId="0" applyAlignment="1">
      <alignment vertical="center"/>
    </xf>
    <xf numFmtId="169" fontId="5" fillId="0" borderId="0" xfId="0" applyNumberFormat="1" applyFont="1" applyAlignment="1">
      <alignment horizontal="left" vertical="center"/>
    </xf>
    <xf numFmtId="0" fontId="8" fillId="0" borderId="22"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165" fontId="5" fillId="0" borderId="0" xfId="0" applyNumberFormat="1" applyFont="1" applyAlignment="1">
      <alignment horizontal="center" vertical="center"/>
    </xf>
    <xf numFmtId="0" fontId="9" fillId="2" borderId="11" xfId="2" applyFont="1" applyFill="1" applyBorder="1" applyAlignment="1">
      <alignment horizontal="center" vertical="center"/>
    </xf>
    <xf numFmtId="0" fontId="9" fillId="2" borderId="1" xfId="2" applyFont="1" applyFill="1" applyBorder="1" applyAlignment="1">
      <alignment horizontal="center" vertical="center"/>
    </xf>
    <xf numFmtId="0" fontId="9" fillId="2" borderId="12" xfId="2" applyFont="1" applyFill="1" applyBorder="1" applyAlignment="1">
      <alignment horizontal="center" vertical="center"/>
    </xf>
    <xf numFmtId="0" fontId="10" fillId="3" borderId="25" xfId="0" applyFont="1" applyFill="1" applyBorder="1" applyAlignment="1" applyProtection="1">
      <alignment vertical="center"/>
      <protection locked="0"/>
    </xf>
    <xf numFmtId="0" fontId="12" fillId="3" borderId="26" xfId="0" applyFont="1" applyFill="1" applyBorder="1" applyAlignment="1" applyProtection="1">
      <alignment vertical="center"/>
      <protection locked="0"/>
    </xf>
    <xf numFmtId="0" fontId="10" fillId="0" borderId="12" xfId="0" applyFont="1" applyBorder="1" applyAlignment="1">
      <alignment horizontal="center" vertical="center"/>
    </xf>
    <xf numFmtId="0" fontId="10" fillId="0" borderId="15" xfId="0" applyFont="1" applyBorder="1" applyAlignment="1" applyProtection="1">
      <alignment horizontal="left" vertical="center"/>
      <protection hidden="1"/>
    </xf>
    <xf numFmtId="0" fontId="10" fillId="0" borderId="16" xfId="0" applyFont="1" applyBorder="1" applyAlignment="1" applyProtection="1">
      <alignment horizontal="left" vertical="center"/>
      <protection hidden="1"/>
    </xf>
    <xf numFmtId="0" fontId="9" fillId="2" borderId="13" xfId="2" applyFont="1" applyFill="1" applyBorder="1" applyAlignment="1" applyProtection="1">
      <alignment horizontal="center" vertical="center" wrapText="1"/>
      <protection hidden="1"/>
    </xf>
    <xf numFmtId="0" fontId="9" fillId="2" borderId="14" xfId="2" applyFont="1" applyFill="1" applyBorder="1" applyAlignment="1" applyProtection="1">
      <alignment horizontal="center" vertical="center" wrapText="1"/>
      <protection hidden="1"/>
    </xf>
    <xf numFmtId="0" fontId="9" fillId="2" borderId="5" xfId="2" applyFont="1" applyFill="1" applyBorder="1" applyAlignment="1" applyProtection="1">
      <alignment horizontal="center" vertical="center" wrapText="1"/>
      <protection hidden="1"/>
    </xf>
    <xf numFmtId="0" fontId="9" fillId="2" borderId="4" xfId="2" applyFont="1" applyFill="1" applyBorder="1" applyAlignment="1" applyProtection="1">
      <alignment horizontal="center" vertical="center" wrapText="1"/>
      <protection hidden="1"/>
    </xf>
    <xf numFmtId="0" fontId="9" fillId="0" borderId="0" xfId="0" applyFont="1" applyAlignment="1">
      <alignment vertical="center" wrapText="1"/>
    </xf>
    <xf numFmtId="0" fontId="9" fillId="0" borderId="4" xfId="0" applyFont="1" applyBorder="1" applyAlignment="1">
      <alignment vertical="center" wrapText="1"/>
    </xf>
    <xf numFmtId="0" fontId="19" fillId="3" borderId="3" xfId="11" applyFont="1" applyFill="1" applyBorder="1" applyAlignment="1" applyProtection="1">
      <alignment horizontal="left" vertical="center"/>
      <protection locked="0"/>
    </xf>
    <xf numFmtId="0" fontId="20" fillId="3" borderId="3" xfId="0" applyFont="1" applyFill="1" applyBorder="1" applyAlignment="1" applyProtection="1">
      <alignment horizontal="left" vertical="center"/>
      <protection locked="0"/>
    </xf>
    <xf numFmtId="0" fontId="10" fillId="0" borderId="0" xfId="0" applyFont="1" applyAlignment="1" applyProtection="1">
      <alignment horizontal="left" vertical="center" wrapText="1"/>
      <protection locked="0"/>
    </xf>
    <xf numFmtId="0" fontId="13" fillId="2" borderId="24" xfId="0" applyFont="1" applyFill="1" applyBorder="1" applyAlignment="1">
      <alignment horizontal="right" vertical="center"/>
    </xf>
    <xf numFmtId="168" fontId="13" fillId="2" borderId="17" xfId="0" applyNumberFormat="1" applyFont="1" applyFill="1" applyBorder="1" applyAlignment="1">
      <alignment horizontal="right" vertical="center"/>
    </xf>
    <xf numFmtId="168" fontId="13" fillId="2" borderId="19" xfId="0" applyNumberFormat="1" applyFont="1" applyFill="1" applyBorder="1" applyAlignment="1">
      <alignment horizontal="right" vertical="center"/>
    </xf>
    <xf numFmtId="0" fontId="13" fillId="2" borderId="17" xfId="0" applyFont="1" applyFill="1" applyBorder="1" applyAlignment="1" applyProtection="1">
      <alignment horizontal="right" vertical="center"/>
      <protection locked="0"/>
    </xf>
    <xf numFmtId="0" fontId="13" fillId="2" borderId="18" xfId="0" applyFont="1" applyFill="1" applyBorder="1" applyAlignment="1" applyProtection="1">
      <alignment horizontal="right" vertical="center"/>
      <protection locked="0"/>
    </xf>
    <xf numFmtId="0" fontId="13" fillId="2" borderId="24" xfId="0" applyFont="1" applyFill="1" applyBorder="1" applyAlignment="1" applyProtection="1">
      <alignment horizontal="right" vertical="center"/>
      <protection locked="0"/>
    </xf>
    <xf numFmtId="0" fontId="13" fillId="2" borderId="19" xfId="0" applyFont="1" applyFill="1" applyBorder="1" applyAlignment="1" applyProtection="1">
      <alignment horizontal="right" vertical="center"/>
      <protection locked="0"/>
    </xf>
    <xf numFmtId="168" fontId="13" fillId="2" borderId="17" xfId="0" applyNumberFormat="1" applyFont="1" applyFill="1" applyBorder="1" applyAlignment="1" applyProtection="1">
      <alignment horizontal="right" vertical="center"/>
      <protection locked="0"/>
    </xf>
    <xf numFmtId="168" fontId="13" fillId="2" borderId="19" xfId="0" applyNumberFormat="1" applyFont="1" applyFill="1" applyBorder="1" applyAlignment="1" applyProtection="1">
      <alignment horizontal="right" vertical="center"/>
      <protection locked="0"/>
    </xf>
    <xf numFmtId="0" fontId="10" fillId="0" borderId="0" xfId="0" applyFont="1" applyAlignment="1" applyProtection="1">
      <alignment horizontal="left" vertical="top" wrapText="1"/>
      <protection locked="0"/>
    </xf>
    <xf numFmtId="0" fontId="10" fillId="0" borderId="0" xfId="0" applyFont="1" applyAlignment="1" applyProtection="1">
      <alignment horizontal="justify" vertical="center" wrapText="1"/>
      <protection locked="0"/>
    </xf>
    <xf numFmtId="0" fontId="0" fillId="0" borderId="0" xfId="0" applyAlignment="1" applyProtection="1">
      <alignment horizontal="justify" vertical="center" wrapText="1"/>
      <protection locked="0"/>
    </xf>
    <xf numFmtId="0" fontId="10" fillId="0" borderId="12" xfId="0" applyFont="1" applyBorder="1" applyAlignment="1" applyProtection="1">
      <alignment horizontal="center" vertical="center"/>
      <protection locked="0"/>
    </xf>
    <xf numFmtId="0" fontId="10" fillId="0" borderId="23" xfId="0" applyFont="1" applyBorder="1" applyAlignment="1" applyProtection="1">
      <alignment horizontal="center" vertical="center"/>
      <protection locked="0"/>
    </xf>
    <xf numFmtId="0" fontId="9" fillId="2" borderId="13" xfId="2" applyFont="1" applyFill="1" applyBorder="1" applyAlignment="1">
      <alignment horizontal="center" vertical="center" wrapText="1"/>
    </xf>
    <xf numFmtId="0" fontId="9" fillId="2" borderId="23" xfId="2" applyFont="1" applyFill="1" applyBorder="1" applyAlignment="1">
      <alignment horizontal="center" vertical="center" wrapText="1"/>
    </xf>
    <xf numFmtId="0" fontId="9" fillId="2" borderId="5" xfId="2" applyFont="1" applyFill="1" applyBorder="1" applyAlignment="1">
      <alignment horizontal="center" vertical="center" wrapText="1"/>
    </xf>
    <xf numFmtId="0" fontId="9" fillId="2" borderId="0" xfId="2" applyFont="1" applyFill="1" applyAlignment="1">
      <alignment horizontal="center" vertical="center" wrapText="1"/>
    </xf>
    <xf numFmtId="0" fontId="10" fillId="0" borderId="13" xfId="0" applyFont="1" applyBorder="1" applyAlignment="1">
      <alignment horizontal="center" vertical="center"/>
    </xf>
    <xf numFmtId="0" fontId="10" fillId="0" borderId="14" xfId="0" applyFont="1" applyBorder="1" applyAlignment="1">
      <alignment horizontal="center" vertical="center"/>
    </xf>
    <xf numFmtId="173" fontId="10" fillId="0" borderId="23" xfId="0" applyNumberFormat="1" applyFont="1" applyBorder="1" applyAlignment="1">
      <alignment horizontal="center" vertical="center"/>
    </xf>
    <xf numFmtId="173" fontId="10" fillId="0" borderId="14" xfId="0" applyNumberFormat="1" applyFont="1" applyBorder="1" applyAlignment="1">
      <alignment horizontal="center" vertical="center"/>
    </xf>
    <xf numFmtId="173" fontId="10" fillId="0" borderId="0" xfId="0" applyNumberFormat="1" applyFont="1" applyAlignment="1">
      <alignment horizontal="center" vertical="center"/>
    </xf>
    <xf numFmtId="173" fontId="10" fillId="0" borderId="4" xfId="0" applyNumberFormat="1" applyFont="1" applyBorder="1" applyAlignment="1">
      <alignment horizontal="center" vertical="center"/>
    </xf>
    <xf numFmtId="172" fontId="10" fillId="0" borderId="13" xfId="0" applyNumberFormat="1" applyFont="1" applyBorder="1" applyAlignment="1">
      <alignment horizontal="right" vertical="center"/>
    </xf>
    <xf numFmtId="172" fontId="10" fillId="0" borderId="14" xfId="0" applyNumberFormat="1" applyFont="1" applyBorder="1" applyAlignment="1">
      <alignment horizontal="right" vertical="center"/>
    </xf>
    <xf numFmtId="172" fontId="10" fillId="0" borderId="5" xfId="0" applyNumberFormat="1" applyFont="1" applyBorder="1" applyAlignment="1">
      <alignment horizontal="right" vertical="center"/>
    </xf>
    <xf numFmtId="172" fontId="10" fillId="0" borderId="4" xfId="0" applyNumberFormat="1" applyFont="1" applyBorder="1" applyAlignment="1">
      <alignment horizontal="right" vertical="center"/>
    </xf>
    <xf numFmtId="172" fontId="10" fillId="0" borderId="22" xfId="0" applyNumberFormat="1" applyFont="1" applyBorder="1" applyAlignment="1">
      <alignment horizontal="right" vertical="center"/>
    </xf>
    <xf numFmtId="172" fontId="10" fillId="0" borderId="2" xfId="0" applyNumberFormat="1" applyFont="1" applyBorder="1" applyAlignment="1">
      <alignment horizontal="right" vertical="center"/>
    </xf>
    <xf numFmtId="0" fontId="10" fillId="0" borderId="5" xfId="0" applyFont="1" applyBorder="1" applyAlignment="1">
      <alignment horizontal="center" vertical="center"/>
    </xf>
    <xf numFmtId="0" fontId="10" fillId="0" borderId="4" xfId="0" applyFont="1" applyBorder="1" applyAlignment="1">
      <alignment horizontal="center" vertical="center"/>
    </xf>
    <xf numFmtId="0" fontId="10" fillId="0" borderId="5"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22" xfId="0" applyFont="1" applyBorder="1" applyAlignment="1">
      <alignment horizontal="center" vertical="center"/>
    </xf>
    <xf numFmtId="0" fontId="10" fillId="0" borderId="2" xfId="0" applyFont="1" applyBorder="1" applyAlignment="1">
      <alignment horizontal="center" vertical="center"/>
    </xf>
    <xf numFmtId="0" fontId="8" fillId="0" borderId="5" xfId="0" applyFont="1" applyBorder="1" applyAlignment="1" applyProtection="1">
      <alignment horizontal="center" vertical="center"/>
      <protection locked="0"/>
    </xf>
    <xf numFmtId="0" fontId="8" fillId="0" borderId="0" xfId="0" applyFont="1" applyAlignment="1" applyProtection="1">
      <alignment horizontal="center" vertical="center"/>
      <protection locked="0"/>
    </xf>
    <xf numFmtId="0" fontId="8" fillId="0" borderId="4" xfId="0" applyFont="1" applyBorder="1" applyAlignment="1" applyProtection="1">
      <alignment horizontal="center" vertical="center"/>
      <protection locked="0"/>
    </xf>
    <xf numFmtId="165" fontId="5" fillId="0" borderId="0" xfId="0" applyNumberFormat="1" applyFont="1" applyAlignment="1" applyProtection="1">
      <alignment horizontal="center" vertical="center"/>
      <protection locked="0"/>
    </xf>
    <xf numFmtId="0" fontId="10" fillId="3" borderId="11" xfId="0" applyFont="1" applyFill="1" applyBorder="1" applyAlignment="1" applyProtection="1">
      <alignment vertical="center"/>
      <protection locked="0"/>
    </xf>
    <xf numFmtId="0" fontId="12" fillId="3" borderId="12" xfId="0" applyFont="1" applyFill="1" applyBorder="1" applyAlignment="1" applyProtection="1">
      <alignment vertical="center"/>
      <protection locked="0"/>
    </xf>
    <xf numFmtId="0" fontId="9" fillId="2" borderId="11" xfId="2" applyFont="1" applyFill="1" applyBorder="1" applyAlignment="1" applyProtection="1">
      <alignment horizontal="center" vertical="center"/>
      <protection locked="0"/>
    </xf>
    <xf numFmtId="0" fontId="9" fillId="2" borderId="1" xfId="2" applyFont="1" applyFill="1" applyBorder="1" applyAlignment="1" applyProtection="1">
      <alignment horizontal="center" vertical="center"/>
      <protection locked="0"/>
    </xf>
    <xf numFmtId="0" fontId="9" fillId="2" borderId="12" xfId="2" applyFont="1" applyFill="1" applyBorder="1" applyAlignment="1" applyProtection="1">
      <alignment horizontal="center" vertical="center"/>
      <protection locked="0"/>
    </xf>
    <xf numFmtId="0" fontId="9" fillId="3" borderId="3" xfId="11" applyFont="1" applyFill="1" applyBorder="1" applyAlignment="1" applyProtection="1">
      <alignment horizontal="left" vertical="center"/>
      <protection locked="0"/>
    </xf>
    <xf numFmtId="0" fontId="0" fillId="0" borderId="3" xfId="0" applyBorder="1" applyAlignment="1" applyProtection="1">
      <alignment horizontal="left" vertical="center"/>
      <protection locked="0"/>
    </xf>
    <xf numFmtId="0" fontId="9" fillId="3" borderId="3" xfId="11" applyFont="1" applyFill="1" applyBorder="1" applyAlignment="1" applyProtection="1">
      <alignment vertical="center"/>
      <protection locked="0"/>
    </xf>
    <xf numFmtId="0" fontId="0" fillId="0" borderId="3" xfId="0" applyBorder="1" applyAlignment="1" applyProtection="1">
      <alignment vertical="center"/>
      <protection locked="0"/>
    </xf>
    <xf numFmtId="0" fontId="10" fillId="0" borderId="4" xfId="0" applyFont="1" applyBorder="1" applyAlignment="1" applyProtection="1">
      <alignment horizontal="left" vertical="center" wrapText="1"/>
      <protection locked="0"/>
    </xf>
    <xf numFmtId="0" fontId="21" fillId="3" borderId="3" xfId="11" applyFont="1" applyFill="1" applyBorder="1" applyAlignment="1" applyProtection="1">
      <alignment horizontal="left" vertical="center"/>
      <protection locked="0"/>
    </xf>
    <xf numFmtId="0" fontId="22" fillId="3" borderId="3" xfId="0" applyFont="1" applyFill="1" applyBorder="1" applyAlignment="1" applyProtection="1">
      <alignment horizontal="left" vertical="center"/>
      <protection locked="0"/>
    </xf>
    <xf numFmtId="0" fontId="9" fillId="3" borderId="23" xfId="11" applyFont="1" applyFill="1" applyBorder="1" applyAlignment="1" applyProtection="1">
      <alignment horizontal="left" vertical="center"/>
      <protection locked="0"/>
    </xf>
    <xf numFmtId="0" fontId="0" fillId="0" borderId="23" xfId="0" applyBorder="1" applyAlignment="1" applyProtection="1">
      <alignment horizontal="left" vertical="center"/>
      <protection locked="0"/>
    </xf>
    <xf numFmtId="0" fontId="0" fillId="0" borderId="23" xfId="0" applyBorder="1" applyAlignment="1" applyProtection="1">
      <alignment vertical="center"/>
      <protection locked="0"/>
    </xf>
    <xf numFmtId="0" fontId="9" fillId="0" borderId="0" xfId="0" applyFont="1" applyAlignment="1" applyProtection="1">
      <alignment horizontal="justify" vertical="center" wrapText="1"/>
      <protection locked="0"/>
    </xf>
  </cellXfs>
  <cellStyles count="12">
    <cellStyle name="Comma" xfId="1" builtinId="3"/>
    <cellStyle name="Comma 2" xfId="3" xr:uid="{00000000-0005-0000-0000-000001000000}"/>
    <cellStyle name="Comma 3" xfId="4" xr:uid="{00000000-0005-0000-0000-000002000000}"/>
    <cellStyle name="Normal" xfId="0" builtinId="0"/>
    <cellStyle name="Normal 12 3" xfId="11" xr:uid="{00000000-0005-0000-0000-000004000000}"/>
    <cellStyle name="Normal 2" xfId="5" xr:uid="{00000000-0005-0000-0000-000005000000}"/>
    <cellStyle name="Normal 2 2" xfId="6" xr:uid="{00000000-0005-0000-0000-000006000000}"/>
    <cellStyle name="Normal 3" xfId="7" xr:uid="{00000000-0005-0000-0000-000007000000}"/>
    <cellStyle name="Normal 3 2" xfId="8" xr:uid="{00000000-0005-0000-0000-000008000000}"/>
    <cellStyle name="Normal 4" xfId="9" xr:uid="{00000000-0005-0000-0000-000009000000}"/>
    <cellStyle name="Percent 2" xfId="10" xr:uid="{00000000-0005-0000-0000-00000A000000}"/>
    <cellStyle name="Style 1" xfId="2" xr:uid="{00000000-0005-0000-0000-00000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0</xdr:row>
      <xdr:rowOff>83343</xdr:rowOff>
    </xdr:from>
    <xdr:to>
      <xdr:col>5</xdr:col>
      <xdr:colOff>619125</xdr:colOff>
      <xdr:row>3</xdr:row>
      <xdr:rowOff>35717</xdr:rowOff>
    </xdr:to>
    <xdr:pic>
      <xdr:nvPicPr>
        <xdr:cNvPr id="3" name="Picture 2">
          <a:extLst>
            <a:ext uri="{FF2B5EF4-FFF2-40B4-BE49-F238E27FC236}">
              <a16:creationId xmlns:a16="http://schemas.microsoft.com/office/drawing/2014/main" id="{4675FCB3-AF4D-4BAF-8D1D-DDBB1EC48F6B}"/>
            </a:ext>
          </a:extLst>
        </xdr:cNvPr>
        <xdr:cNvPicPr/>
      </xdr:nvPicPr>
      <xdr:blipFill>
        <a:blip xmlns:r="http://schemas.openxmlformats.org/officeDocument/2006/relationships" r:embed="rId1" cstate="print"/>
        <a:stretch>
          <a:fillRect/>
        </a:stretch>
      </xdr:blipFill>
      <xdr:spPr>
        <a:xfrm>
          <a:off x="1285875" y="83343"/>
          <a:ext cx="2107406" cy="631030"/>
        </a:xfrm>
        <a:prstGeom prst="rect">
          <a:avLst/>
        </a:prstGeom>
      </xdr:spPr>
    </xdr:pic>
    <xdr:clientData/>
  </xdr:twoCellAnchor>
  <xdr:twoCellAnchor editAs="oneCell">
    <xdr:from>
      <xdr:col>4</xdr:col>
      <xdr:colOff>214312</xdr:colOff>
      <xdr:row>3</xdr:row>
      <xdr:rowOff>23813</xdr:rowOff>
    </xdr:from>
    <xdr:to>
      <xdr:col>5</xdr:col>
      <xdr:colOff>673099</xdr:colOff>
      <xdr:row>3</xdr:row>
      <xdr:rowOff>214313</xdr:rowOff>
    </xdr:to>
    <xdr:pic>
      <xdr:nvPicPr>
        <xdr:cNvPr id="4" name="Picture 3">
          <a:extLst>
            <a:ext uri="{FF2B5EF4-FFF2-40B4-BE49-F238E27FC236}">
              <a16:creationId xmlns:a16="http://schemas.microsoft.com/office/drawing/2014/main" id="{017FCA87-3A91-4BEF-B958-374252477B46}"/>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76500" y="702469"/>
          <a:ext cx="839787" cy="190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53511</xdr:colOff>
      <xdr:row>0</xdr:row>
      <xdr:rowOff>51237</xdr:rowOff>
    </xdr:from>
    <xdr:to>
      <xdr:col>4</xdr:col>
      <xdr:colOff>377388</xdr:colOff>
      <xdr:row>3</xdr:row>
      <xdr:rowOff>3611</xdr:rowOff>
    </xdr:to>
    <xdr:pic>
      <xdr:nvPicPr>
        <xdr:cNvPr id="2" name="Picture 1">
          <a:extLst>
            <a:ext uri="{FF2B5EF4-FFF2-40B4-BE49-F238E27FC236}">
              <a16:creationId xmlns:a16="http://schemas.microsoft.com/office/drawing/2014/main" id="{2A9C3460-88DD-4DBA-98A3-65AB36C3A1E8}"/>
            </a:ext>
          </a:extLst>
        </xdr:cNvPr>
        <xdr:cNvPicPr/>
      </xdr:nvPicPr>
      <xdr:blipFill>
        <a:blip xmlns:r="http://schemas.openxmlformats.org/officeDocument/2006/relationships" r:embed="rId1"/>
        <a:stretch>
          <a:fillRect/>
        </a:stretch>
      </xdr:blipFill>
      <xdr:spPr>
        <a:xfrm>
          <a:off x="877584" y="51237"/>
          <a:ext cx="2111152" cy="626616"/>
        </a:xfrm>
        <a:prstGeom prst="rect">
          <a:avLst/>
        </a:prstGeom>
      </xdr:spPr>
    </xdr:pic>
    <xdr:clientData/>
  </xdr:twoCellAnchor>
  <xdr:twoCellAnchor editAs="oneCell">
    <xdr:from>
      <xdr:col>4</xdr:col>
      <xdr:colOff>214312</xdr:colOff>
      <xdr:row>3</xdr:row>
      <xdr:rowOff>23813</xdr:rowOff>
    </xdr:from>
    <xdr:to>
      <xdr:col>5</xdr:col>
      <xdr:colOff>673099</xdr:colOff>
      <xdr:row>3</xdr:row>
      <xdr:rowOff>214313</xdr:rowOff>
    </xdr:to>
    <xdr:pic>
      <xdr:nvPicPr>
        <xdr:cNvPr id="3" name="Picture 2">
          <a:extLst>
            <a:ext uri="{FF2B5EF4-FFF2-40B4-BE49-F238E27FC236}">
              <a16:creationId xmlns:a16="http://schemas.microsoft.com/office/drawing/2014/main" id="{B8B9DB05-0D6B-487E-A873-753A102C5753}"/>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5512" y="709613"/>
          <a:ext cx="839787" cy="1905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P66"/>
  <sheetViews>
    <sheetView showGridLines="0" topLeftCell="A13" zoomScale="80" zoomScaleNormal="80" workbookViewId="0">
      <selection activeCell="F23" sqref="F23"/>
    </sheetView>
  </sheetViews>
  <sheetFormatPr defaultColWidth="0" defaultRowHeight="18" customHeight="1" zeroHeight="1"/>
  <cols>
    <col min="1" max="1" width="2.26953125" style="1" customWidth="1"/>
    <col min="2" max="2" width="2" style="1" customWidth="1"/>
    <col min="3" max="3" width="8.1796875" style="1" customWidth="1"/>
    <col min="4" max="4" width="16.54296875" style="1" customWidth="1"/>
    <col min="5" max="5" width="5.7265625" style="1" customWidth="1"/>
    <col min="6" max="6" width="33.54296875" style="1" customWidth="1"/>
    <col min="7" max="7" width="19.54296875" style="1" customWidth="1"/>
    <col min="8" max="8" width="19.7265625" style="1" customWidth="1"/>
    <col min="9" max="9" width="20.54296875" style="1" customWidth="1"/>
    <col min="10" max="10" width="6.81640625" style="1" customWidth="1"/>
    <col min="11" max="11" width="4.54296875" style="1" customWidth="1"/>
    <col min="12" max="12" width="2" style="1" customWidth="1"/>
    <col min="13" max="13" width="16.26953125" style="1" hidden="1" customWidth="1"/>
    <col min="14" max="14" width="10.26953125" style="1" hidden="1" customWidth="1"/>
    <col min="15" max="15" width="12.7265625" style="1" hidden="1" customWidth="1"/>
    <col min="16" max="16" width="20.26953125" style="1" hidden="1" customWidth="1"/>
    <col min="17" max="16384" width="9.1796875" style="1" hidden="1"/>
  </cols>
  <sheetData>
    <row r="1" spans="2:15" ht="18" customHeight="1">
      <c r="B1" s="6"/>
      <c r="C1" s="7"/>
      <c r="D1" s="7"/>
      <c r="E1" s="7"/>
      <c r="F1" s="7"/>
      <c r="G1" s="7"/>
      <c r="H1" s="49" t="s">
        <v>33</v>
      </c>
      <c r="I1" s="49"/>
      <c r="J1" s="7"/>
      <c r="K1" s="8"/>
    </row>
    <row r="2" spans="2:15" ht="18" customHeight="1">
      <c r="B2" s="9"/>
      <c r="C2" s="10"/>
      <c r="K2" s="11"/>
    </row>
    <row r="3" spans="2:15" ht="18" customHeight="1">
      <c r="B3" s="9"/>
      <c r="C3" s="12"/>
      <c r="K3" s="11"/>
    </row>
    <row r="4" spans="2:15" ht="18" customHeight="1">
      <c r="B4" s="13"/>
      <c r="C4" s="14"/>
      <c r="D4" s="14"/>
      <c r="E4" s="14"/>
      <c r="F4" s="14"/>
      <c r="G4" s="14"/>
      <c r="H4" s="15" t="s">
        <v>0</v>
      </c>
      <c r="I4" s="165">
        <f ca="1">TODAY()</f>
        <v>45755</v>
      </c>
      <c r="J4" s="165"/>
      <c r="K4" s="16"/>
    </row>
    <row r="5" spans="2:15" ht="18" customHeight="1">
      <c r="B5" s="13"/>
      <c r="C5" s="14"/>
      <c r="D5" s="14"/>
      <c r="E5" s="14"/>
      <c r="F5" s="14"/>
      <c r="G5" s="14"/>
      <c r="H5" s="15"/>
      <c r="I5" s="14"/>
      <c r="J5" s="14"/>
      <c r="K5" s="16"/>
      <c r="O5" s="3"/>
    </row>
    <row r="6" spans="2:15" ht="18" customHeight="1">
      <c r="B6" s="13"/>
      <c r="C6" s="14"/>
      <c r="D6" s="14"/>
      <c r="E6" s="14"/>
      <c r="F6" s="14"/>
      <c r="G6" s="14"/>
      <c r="H6" s="15" t="s">
        <v>30</v>
      </c>
      <c r="I6" s="46">
        <v>18062018</v>
      </c>
      <c r="J6" s="14"/>
      <c r="K6" s="16"/>
      <c r="O6" s="3"/>
    </row>
    <row r="7" spans="2:15" ht="18" customHeight="1">
      <c r="B7" s="13"/>
      <c r="C7" s="17"/>
      <c r="D7" s="14"/>
      <c r="E7" s="14"/>
      <c r="F7" s="14"/>
      <c r="G7" s="14"/>
      <c r="H7" s="14"/>
      <c r="I7" s="14"/>
      <c r="J7" s="14"/>
      <c r="K7" s="16"/>
    </row>
    <row r="8" spans="2:15" ht="18" customHeight="1">
      <c r="B8" s="13"/>
      <c r="C8" s="17"/>
      <c r="D8" s="14"/>
      <c r="E8" s="14"/>
      <c r="F8" s="14"/>
      <c r="G8" s="14"/>
      <c r="H8" s="14"/>
      <c r="I8" s="14"/>
      <c r="J8" s="14"/>
      <c r="K8" s="16"/>
    </row>
    <row r="9" spans="2:15" ht="18" customHeight="1" thickBot="1">
      <c r="B9" s="166" t="s">
        <v>2</v>
      </c>
      <c r="C9" s="167"/>
      <c r="D9" s="167"/>
      <c r="E9" s="167"/>
      <c r="F9" s="167"/>
      <c r="G9" s="167"/>
      <c r="H9" s="167"/>
      <c r="I9" s="167"/>
      <c r="J9" s="167"/>
      <c r="K9" s="168"/>
      <c r="N9" s="2"/>
      <c r="O9" s="5"/>
    </row>
    <row r="10" spans="2:15" ht="18" customHeight="1">
      <c r="B10" s="13"/>
      <c r="C10" s="14"/>
      <c r="D10" s="14"/>
      <c r="E10" s="14"/>
      <c r="F10" s="15"/>
      <c r="G10" s="14"/>
      <c r="H10" s="14"/>
      <c r="I10" s="14"/>
      <c r="J10" s="14"/>
      <c r="K10" s="16"/>
    </row>
    <row r="11" spans="2:15" ht="18" customHeight="1">
      <c r="B11" s="13"/>
      <c r="C11" s="15"/>
      <c r="D11" s="14"/>
      <c r="E11" s="14"/>
      <c r="F11" s="14"/>
      <c r="G11" s="14"/>
      <c r="H11" s="15"/>
      <c r="I11" s="169"/>
      <c r="J11" s="169"/>
      <c r="K11" s="16"/>
    </row>
    <row r="12" spans="2:15" ht="18" customHeight="1">
      <c r="B12" s="18"/>
      <c r="C12" s="19" t="s">
        <v>3</v>
      </c>
      <c r="D12" s="20"/>
      <c r="E12" s="19"/>
      <c r="F12" s="47" t="s">
        <v>51</v>
      </c>
      <c r="G12" s="21"/>
      <c r="H12" s="21"/>
      <c r="I12" s="19"/>
      <c r="J12" s="21"/>
      <c r="K12" s="22"/>
      <c r="O12" s="2"/>
    </row>
    <row r="13" spans="2:15" ht="18" customHeight="1">
      <c r="B13" s="13"/>
      <c r="C13" s="23"/>
      <c r="D13" s="19"/>
      <c r="E13" s="19"/>
      <c r="F13" s="19"/>
      <c r="G13" s="21"/>
      <c r="H13" s="19"/>
      <c r="I13" s="21"/>
      <c r="J13" s="21"/>
      <c r="K13" s="22"/>
    </row>
    <row r="14" spans="2:15" ht="18" customHeight="1">
      <c r="B14" s="13"/>
      <c r="C14" s="23"/>
      <c r="D14" s="19"/>
      <c r="E14" s="19"/>
      <c r="F14" s="19"/>
      <c r="G14" s="21"/>
      <c r="H14" s="19"/>
      <c r="I14" s="21"/>
      <c r="J14" s="21"/>
      <c r="K14" s="22"/>
    </row>
    <row r="15" spans="2:15" ht="18" customHeight="1">
      <c r="B15" s="13"/>
      <c r="C15" s="23" t="s">
        <v>31</v>
      </c>
      <c r="D15" s="21"/>
      <c r="E15" s="19"/>
      <c r="F15" s="47" t="s">
        <v>52</v>
      </c>
      <c r="G15" s="21"/>
      <c r="H15" s="19"/>
      <c r="I15" s="21"/>
      <c r="J15" s="21"/>
      <c r="K15" s="22"/>
    </row>
    <row r="16" spans="2:15" ht="18" customHeight="1">
      <c r="B16" s="13"/>
      <c r="C16" s="23"/>
      <c r="D16" s="21"/>
      <c r="E16" s="19"/>
      <c r="F16" s="21"/>
      <c r="G16" s="20"/>
      <c r="H16" s="19"/>
      <c r="I16" s="21"/>
      <c r="J16" s="21"/>
      <c r="K16" s="22"/>
    </row>
    <row r="17" spans="2:16" ht="18" customHeight="1">
      <c r="B17" s="24"/>
      <c r="C17" s="25"/>
      <c r="D17" s="25"/>
      <c r="E17" s="25"/>
      <c r="F17" s="25"/>
      <c r="G17" s="25"/>
      <c r="H17" s="25"/>
      <c r="I17" s="25"/>
      <c r="J17" s="25"/>
      <c r="K17" s="26"/>
      <c r="M17" s="3"/>
    </row>
    <row r="18" spans="2:16" ht="18" customHeight="1">
      <c r="B18" s="13"/>
      <c r="C18" s="27"/>
      <c r="D18" s="27"/>
      <c r="E18" s="27"/>
      <c r="F18" s="27"/>
      <c r="G18" s="27"/>
      <c r="H18" s="27"/>
      <c r="I18" s="27"/>
      <c r="J18" s="27"/>
      <c r="K18" s="22"/>
      <c r="M18" s="3"/>
    </row>
    <row r="19" spans="2:16" ht="18" customHeight="1">
      <c r="B19" s="13"/>
      <c r="C19" s="19" t="s">
        <v>5</v>
      </c>
      <c r="D19" s="21"/>
      <c r="E19" s="21"/>
      <c r="F19" s="21"/>
      <c r="G19" s="21"/>
      <c r="H19" s="21"/>
      <c r="I19" s="28"/>
      <c r="J19" s="21"/>
      <c r="K19" s="22"/>
    </row>
    <row r="20" spans="2:16" ht="18" customHeight="1">
      <c r="B20" s="13"/>
      <c r="C20" s="21"/>
      <c r="D20" s="21"/>
      <c r="E20" s="21"/>
      <c r="F20" s="29"/>
      <c r="G20" s="21"/>
      <c r="H20" s="21"/>
      <c r="I20" s="29"/>
      <c r="J20" s="21"/>
      <c r="K20" s="22"/>
    </row>
    <row r="21" spans="2:16" ht="18" customHeight="1">
      <c r="B21" s="13"/>
      <c r="C21" s="19" t="s">
        <v>25</v>
      </c>
      <c r="D21" s="21"/>
      <c r="E21" s="28" t="s">
        <v>6</v>
      </c>
      <c r="F21" s="70"/>
      <c r="G21" s="21"/>
      <c r="H21" s="21"/>
      <c r="I21" s="29"/>
      <c r="J21" s="21"/>
      <c r="K21" s="22"/>
    </row>
    <row r="22" spans="2:16" ht="18" customHeight="1">
      <c r="B22" s="13"/>
      <c r="C22" s="19" t="s">
        <v>4</v>
      </c>
      <c r="D22" s="21"/>
      <c r="E22" s="28" t="s">
        <v>6</v>
      </c>
      <c r="F22" s="71">
        <v>150000000</v>
      </c>
      <c r="G22" s="21"/>
      <c r="H22" s="21"/>
      <c r="I22" s="21"/>
      <c r="J22" s="21"/>
      <c r="K22" s="22"/>
    </row>
    <row r="23" spans="2:16" ht="18" customHeight="1">
      <c r="B23" s="13"/>
      <c r="C23" s="19" t="s">
        <v>32</v>
      </c>
      <c r="D23" s="21"/>
      <c r="E23" s="28"/>
      <c r="F23" s="30"/>
      <c r="G23" s="21"/>
      <c r="H23" s="21"/>
      <c r="I23" s="21"/>
      <c r="J23" s="21"/>
      <c r="K23" s="22"/>
    </row>
    <row r="24" spans="2:16" ht="18" customHeight="1">
      <c r="B24" s="13"/>
      <c r="C24" s="31" t="s">
        <v>1</v>
      </c>
      <c r="D24" s="31"/>
      <c r="E24" s="32"/>
      <c r="F24" s="33" t="s">
        <v>7</v>
      </c>
      <c r="G24" s="21"/>
      <c r="H24" s="21"/>
      <c r="I24" s="21"/>
      <c r="J24" s="21"/>
      <c r="K24" s="22"/>
    </row>
    <row r="25" spans="2:16" ht="18" customHeight="1">
      <c r="B25" s="13"/>
      <c r="C25" s="173" t="s">
        <v>52</v>
      </c>
      <c r="D25" s="174"/>
      <c r="E25" s="32" t="s">
        <v>6</v>
      </c>
      <c r="F25" s="48">
        <v>56</v>
      </c>
      <c r="G25" s="21"/>
      <c r="H25" s="21"/>
      <c r="I25" s="21"/>
      <c r="J25" s="21"/>
      <c r="K25" s="22"/>
    </row>
    <row r="26" spans="2:16" ht="18" customHeight="1">
      <c r="B26" s="24"/>
      <c r="C26" s="25"/>
      <c r="D26" s="25"/>
      <c r="E26" s="25"/>
      <c r="F26" s="25"/>
      <c r="G26" s="25"/>
      <c r="H26" s="25"/>
      <c r="I26" s="25"/>
      <c r="J26" s="25"/>
      <c r="K26" s="26"/>
      <c r="N26" s="3"/>
    </row>
    <row r="27" spans="2:16" ht="18" customHeight="1">
      <c r="B27" s="13"/>
      <c r="C27" s="19" t="s">
        <v>8</v>
      </c>
      <c r="D27" s="21"/>
      <c r="E27" s="21"/>
      <c r="F27" s="21"/>
      <c r="G27" s="21"/>
      <c r="H27" s="21"/>
      <c r="I27" s="21"/>
      <c r="J27" s="21"/>
      <c r="K27" s="22"/>
      <c r="N27" s="3"/>
    </row>
    <row r="28" spans="2:16" ht="18" customHeight="1" thickBot="1">
      <c r="B28" s="13"/>
      <c r="C28" s="34"/>
      <c r="D28" s="28"/>
      <c r="E28" s="28"/>
      <c r="F28" s="28"/>
      <c r="G28" s="21"/>
      <c r="H28" s="21"/>
      <c r="I28" s="21"/>
      <c r="J28" s="21"/>
      <c r="K28" s="22"/>
    </row>
    <row r="29" spans="2:16" ht="25.5" customHeight="1" thickBot="1">
      <c r="B29" s="13"/>
      <c r="C29" s="170" t="s">
        <v>9</v>
      </c>
      <c r="D29" s="171"/>
      <c r="E29" s="172" t="s">
        <v>10</v>
      </c>
      <c r="F29" s="171"/>
      <c r="G29" s="170" t="s">
        <v>11</v>
      </c>
      <c r="H29" s="171"/>
      <c r="I29" s="170" t="s">
        <v>12</v>
      </c>
      <c r="J29" s="171"/>
      <c r="K29" s="22"/>
    </row>
    <row r="30" spans="2:16" ht="10.5" customHeight="1" thickBot="1">
      <c r="B30" s="13"/>
      <c r="C30" s="175"/>
      <c r="D30" s="175"/>
      <c r="E30" s="175"/>
      <c r="F30" s="175"/>
      <c r="G30" s="175"/>
      <c r="H30" s="175"/>
      <c r="I30" s="175"/>
      <c r="J30" s="175"/>
      <c r="K30" s="22"/>
    </row>
    <row r="31" spans="2:16" ht="21" customHeight="1">
      <c r="B31" s="13"/>
      <c r="C31" s="178" t="s">
        <v>13</v>
      </c>
      <c r="D31" s="179"/>
      <c r="E31" s="176" t="s">
        <v>14</v>
      </c>
      <c r="F31" s="177"/>
      <c r="G31" s="143">
        <f>F22</f>
        <v>150000000</v>
      </c>
      <c r="H31" s="144"/>
      <c r="I31" s="137">
        <f>G31/1000*Sheet1!D3</f>
        <v>975000</v>
      </c>
      <c r="J31" s="138"/>
      <c r="K31" s="22"/>
      <c r="M31" s="4"/>
      <c r="P31" s="4"/>
    </row>
    <row r="32" spans="2:16" ht="21" customHeight="1">
      <c r="B32" s="13"/>
      <c r="C32" s="180"/>
      <c r="D32" s="181"/>
      <c r="E32" s="145" t="s">
        <v>15</v>
      </c>
      <c r="F32" s="146"/>
      <c r="G32" s="141">
        <f>F22</f>
        <v>150000000</v>
      </c>
      <c r="H32" s="142"/>
      <c r="I32" s="139">
        <f>G32/1000*Sheet1!D4</f>
        <v>300000</v>
      </c>
      <c r="J32" s="140"/>
      <c r="K32" s="22"/>
    </row>
    <row r="33" spans="2:11" ht="21" customHeight="1">
      <c r="B33" s="13"/>
      <c r="C33" s="180"/>
      <c r="D33" s="181"/>
      <c r="E33" s="145" t="s">
        <v>50</v>
      </c>
      <c r="F33" s="146"/>
      <c r="G33" s="141">
        <f>MIN(30%*F22,12000000)</f>
        <v>12000000</v>
      </c>
      <c r="H33" s="142"/>
      <c r="I33" s="139">
        <f>G33/1000*Sheet1!D5</f>
        <v>24000</v>
      </c>
      <c r="J33" s="140"/>
      <c r="K33" s="22"/>
    </row>
    <row r="34" spans="2:11" ht="21" customHeight="1">
      <c r="B34" s="13"/>
      <c r="C34" s="180"/>
      <c r="D34" s="181"/>
      <c r="E34" s="145" t="s">
        <v>49</v>
      </c>
      <c r="F34" s="146"/>
      <c r="G34" s="141">
        <v>300000</v>
      </c>
      <c r="H34" s="142"/>
      <c r="I34" s="139">
        <f>G34/1000*Sheet1!D6</f>
        <v>3000</v>
      </c>
      <c r="J34" s="140"/>
      <c r="K34" s="22"/>
    </row>
    <row r="35" spans="2:11" ht="21" customHeight="1" thickBot="1">
      <c r="B35" s="13"/>
      <c r="C35" s="59"/>
      <c r="D35" s="60"/>
      <c r="E35" s="135" t="s">
        <v>46</v>
      </c>
      <c r="F35" s="136"/>
      <c r="G35" s="141">
        <v>40000000</v>
      </c>
      <c r="H35" s="142"/>
      <c r="I35" s="139"/>
      <c r="J35" s="140"/>
      <c r="K35" s="22"/>
    </row>
    <row r="36" spans="2:11" ht="27.75" customHeight="1" thickTop="1" thickBot="1">
      <c r="B36" s="35"/>
      <c r="C36" s="151" t="s">
        <v>16</v>
      </c>
      <c r="D36" s="152"/>
      <c r="E36" s="152"/>
      <c r="F36" s="152"/>
      <c r="G36" s="152"/>
      <c r="H36" s="153"/>
      <c r="I36" s="154">
        <f>SUM(I31:J35)</f>
        <v>1302000</v>
      </c>
      <c r="J36" s="155"/>
      <c r="K36" s="36"/>
    </row>
    <row r="37" spans="2:11" ht="20.25" hidden="1" customHeight="1" thickTop="1" thickBot="1">
      <c r="B37" s="35"/>
      <c r="C37" s="156" t="s">
        <v>17</v>
      </c>
      <c r="D37" s="157"/>
      <c r="E37" s="157"/>
      <c r="F37" s="157"/>
      <c r="G37" s="157"/>
      <c r="H37" s="158"/>
      <c r="I37" s="159">
        <f>SUM(I31:J32)</f>
        <v>1275000</v>
      </c>
      <c r="J37" s="160"/>
      <c r="K37" s="36"/>
    </row>
    <row r="38" spans="2:11" ht="18" customHeight="1" thickTop="1">
      <c r="B38" s="13"/>
      <c r="C38" s="19"/>
      <c r="D38" s="21"/>
      <c r="E38" s="21"/>
      <c r="F38" s="21"/>
      <c r="G38" s="21"/>
      <c r="H38" s="21"/>
      <c r="I38" s="21"/>
      <c r="J38" s="21"/>
      <c r="K38" s="22"/>
    </row>
    <row r="39" spans="2:11" ht="18" customHeight="1">
      <c r="B39" s="13"/>
      <c r="C39" s="19" t="s">
        <v>18</v>
      </c>
      <c r="D39" s="21"/>
      <c r="E39" s="21"/>
      <c r="F39" s="21"/>
      <c r="G39" s="21"/>
      <c r="H39" s="21"/>
      <c r="I39" s="21"/>
      <c r="J39" s="21"/>
      <c r="K39" s="22"/>
    </row>
    <row r="40" spans="2:11" ht="18" customHeight="1">
      <c r="B40" s="13"/>
      <c r="C40" s="28">
        <v>1</v>
      </c>
      <c r="D40" s="147" t="s">
        <v>19</v>
      </c>
      <c r="E40" s="147"/>
      <c r="F40" s="147"/>
      <c r="G40" s="147"/>
      <c r="H40" s="147"/>
      <c r="I40" s="147"/>
      <c r="J40" s="147"/>
      <c r="K40" s="37"/>
    </row>
    <row r="41" spans="2:11" ht="18" customHeight="1">
      <c r="B41" s="13"/>
      <c r="C41" s="28">
        <f>C40+1</f>
        <v>2</v>
      </c>
      <c r="D41" s="147" t="s">
        <v>20</v>
      </c>
      <c r="E41" s="147"/>
      <c r="F41" s="147"/>
      <c r="G41" s="147"/>
      <c r="H41" s="147"/>
      <c r="I41" s="147"/>
      <c r="J41" s="147"/>
      <c r="K41" s="37"/>
    </row>
    <row r="42" spans="2:11" ht="48" customHeight="1">
      <c r="B42" s="13"/>
      <c r="C42" s="28">
        <f t="shared" ref="C42" si="0">C41+1</f>
        <v>3</v>
      </c>
      <c r="D42" s="147" t="s">
        <v>21</v>
      </c>
      <c r="E42" s="147"/>
      <c r="F42" s="147"/>
      <c r="G42" s="147"/>
      <c r="H42" s="147"/>
      <c r="I42" s="147"/>
      <c r="J42" s="147"/>
      <c r="K42" s="37"/>
    </row>
    <row r="43" spans="2:11" ht="17.25" customHeight="1">
      <c r="B43" s="13"/>
      <c r="C43" s="28"/>
      <c r="D43" s="38"/>
      <c r="E43" s="38"/>
      <c r="F43" s="38"/>
      <c r="G43" s="38"/>
      <c r="H43" s="38"/>
      <c r="I43" s="38"/>
      <c r="J43" s="38"/>
      <c r="K43" s="37"/>
    </row>
    <row r="44" spans="2:11" ht="17.25" customHeight="1">
      <c r="B44" s="13"/>
      <c r="C44" s="34" t="s">
        <v>22</v>
      </c>
      <c r="D44" s="38"/>
      <c r="E44" s="38"/>
      <c r="F44" s="38"/>
      <c r="G44" s="38"/>
      <c r="H44" s="38"/>
      <c r="I44" s="38"/>
      <c r="J44" s="38"/>
      <c r="K44" s="37"/>
    </row>
    <row r="45" spans="2:11" ht="17.25" customHeight="1">
      <c r="B45" s="13"/>
      <c r="C45" s="28">
        <v>1</v>
      </c>
      <c r="D45" s="147" t="s">
        <v>23</v>
      </c>
      <c r="E45" s="147"/>
      <c r="F45" s="147"/>
      <c r="G45" s="147"/>
      <c r="H45" s="147"/>
      <c r="I45" s="147"/>
      <c r="J45" s="147"/>
      <c r="K45" s="37"/>
    </row>
    <row r="46" spans="2:11" ht="17.25" customHeight="1">
      <c r="B46" s="13"/>
      <c r="C46" s="28">
        <f t="shared" ref="C46:C47" si="1">C45+1</f>
        <v>2</v>
      </c>
      <c r="D46" s="147" t="s">
        <v>58</v>
      </c>
      <c r="E46" s="162"/>
      <c r="F46" s="162"/>
      <c r="G46" s="162"/>
      <c r="H46" s="162"/>
      <c r="I46" s="162"/>
      <c r="J46" s="162"/>
      <c r="K46" s="37"/>
    </row>
    <row r="47" spans="2:11" ht="15.75" customHeight="1">
      <c r="B47" s="13"/>
      <c r="C47" s="28">
        <f t="shared" si="1"/>
        <v>3</v>
      </c>
      <c r="D47" s="148" t="s">
        <v>57</v>
      </c>
      <c r="E47" s="148"/>
      <c r="F47" s="148"/>
      <c r="G47" s="148"/>
      <c r="H47" s="148"/>
      <c r="I47" s="148"/>
      <c r="J47" s="38"/>
      <c r="K47" s="37"/>
    </row>
    <row r="48" spans="2:11" ht="15.75" customHeight="1">
      <c r="B48" s="13"/>
      <c r="C48" s="28">
        <v>4</v>
      </c>
      <c r="D48" s="147" t="s">
        <v>56</v>
      </c>
      <c r="E48" s="147"/>
      <c r="F48" s="147"/>
      <c r="G48" s="147"/>
      <c r="H48" s="147"/>
      <c r="I48" s="147"/>
      <c r="J48" s="147"/>
      <c r="K48" s="37"/>
    </row>
    <row r="49" spans="2:11" ht="15.5">
      <c r="B49" s="13"/>
      <c r="C49" s="28"/>
      <c r="D49" s="38"/>
      <c r="E49" s="69"/>
      <c r="F49" s="69"/>
      <c r="G49" s="69"/>
      <c r="H49" s="69"/>
      <c r="I49" s="69"/>
      <c r="J49" s="69"/>
      <c r="K49" s="37"/>
    </row>
    <row r="50" spans="2:11" ht="33" customHeight="1">
      <c r="B50" s="13"/>
      <c r="C50" s="161" t="s">
        <v>37</v>
      </c>
      <c r="D50" s="161"/>
      <c r="E50" s="161"/>
      <c r="F50" s="161"/>
      <c r="G50" s="161"/>
      <c r="H50" s="161"/>
      <c r="I50" s="161"/>
      <c r="J50" s="161"/>
      <c r="K50" s="37"/>
    </row>
    <row r="51" spans="2:11" ht="18" customHeight="1">
      <c r="B51" s="13"/>
      <c r="C51" s="21"/>
      <c r="D51" s="182"/>
      <c r="E51" s="182"/>
      <c r="F51" s="182"/>
      <c r="G51" s="182"/>
      <c r="H51" s="182"/>
      <c r="I51" s="182"/>
      <c r="J51" s="182"/>
      <c r="K51" s="183"/>
    </row>
    <row r="52" spans="2:11" ht="18" customHeight="1">
      <c r="B52" s="39"/>
      <c r="C52" s="40"/>
      <c r="D52" s="40"/>
      <c r="E52" s="40"/>
      <c r="F52" s="40"/>
      <c r="G52" s="40"/>
      <c r="H52" s="40"/>
      <c r="I52" s="40"/>
      <c r="J52" s="40"/>
      <c r="K52" s="41"/>
    </row>
    <row r="53" spans="2:11" ht="18" customHeight="1">
      <c r="B53" s="13"/>
      <c r="C53" s="21" t="s">
        <v>24</v>
      </c>
      <c r="D53" s="19"/>
      <c r="E53" s="19"/>
      <c r="F53" s="19"/>
      <c r="G53" s="19"/>
      <c r="H53" s="19"/>
      <c r="I53" s="21"/>
      <c r="J53" s="21"/>
      <c r="K53" s="22"/>
    </row>
    <row r="54" spans="2:11" ht="18" customHeight="1">
      <c r="B54" s="13"/>
      <c r="C54" s="19" t="s">
        <v>35</v>
      </c>
      <c r="D54" s="21"/>
      <c r="E54" s="21"/>
      <c r="F54" s="21"/>
      <c r="G54" s="21"/>
      <c r="H54" s="21"/>
      <c r="I54" s="21"/>
      <c r="J54" s="21"/>
      <c r="K54" s="22"/>
    </row>
    <row r="55" spans="2:11" ht="18" customHeight="1">
      <c r="B55" s="13"/>
      <c r="C55" s="21"/>
      <c r="D55" s="21"/>
      <c r="E55" s="21"/>
      <c r="F55" s="21"/>
      <c r="G55" s="21"/>
      <c r="H55" s="21"/>
      <c r="I55" s="21"/>
      <c r="J55" s="21"/>
      <c r="K55" s="22"/>
    </row>
    <row r="56" spans="2:11" ht="18" customHeight="1" thickBot="1">
      <c r="B56" s="13"/>
      <c r="C56" s="184"/>
      <c r="D56" s="184"/>
      <c r="E56" s="184"/>
      <c r="F56" s="185"/>
      <c r="G56" s="21"/>
      <c r="H56" s="21"/>
      <c r="I56" s="21"/>
      <c r="J56" s="21"/>
      <c r="K56" s="22"/>
    </row>
    <row r="57" spans="2:11" ht="18" customHeight="1">
      <c r="B57" s="13"/>
      <c r="C57" s="149"/>
      <c r="D57" s="150"/>
      <c r="E57" s="150"/>
      <c r="F57" s="150"/>
      <c r="G57" s="21"/>
      <c r="H57" s="42"/>
      <c r="I57" s="42"/>
      <c r="J57" s="21"/>
      <c r="K57" s="22"/>
    </row>
    <row r="58" spans="2:11" ht="18" customHeight="1">
      <c r="B58" s="13"/>
      <c r="C58" s="163" t="s">
        <v>34</v>
      </c>
      <c r="D58" s="164"/>
      <c r="E58" s="164"/>
      <c r="F58" s="164"/>
      <c r="G58" s="21"/>
      <c r="H58" s="42"/>
      <c r="I58" s="42"/>
      <c r="J58" s="21"/>
      <c r="K58" s="22"/>
    </row>
    <row r="59" spans="2:11" ht="18" customHeight="1" thickBot="1">
      <c r="B59" s="43"/>
      <c r="C59" s="44"/>
      <c r="D59" s="44"/>
      <c r="E59" s="44"/>
      <c r="F59" s="44"/>
      <c r="G59" s="44"/>
      <c r="H59" s="44"/>
      <c r="I59" s="44"/>
      <c r="J59" s="44"/>
      <c r="K59" s="45"/>
    </row>
    <row r="60" spans="2:11" ht="9.75" customHeight="1"/>
    <row r="63" spans="2:11" ht="18" customHeight="1"/>
    <row r="64" spans="2:11" ht="18" customHeight="1"/>
    <row r="65" ht="18" customHeight="1"/>
    <row r="66" ht="18" customHeight="1"/>
  </sheetData>
  <mergeCells count="41">
    <mergeCell ref="C58:F58"/>
    <mergeCell ref="I4:J4"/>
    <mergeCell ref="B9:K9"/>
    <mergeCell ref="I11:J11"/>
    <mergeCell ref="C29:D29"/>
    <mergeCell ref="E29:F29"/>
    <mergeCell ref="G29:H29"/>
    <mergeCell ref="I29:J29"/>
    <mergeCell ref="C25:D25"/>
    <mergeCell ref="C30:J30"/>
    <mergeCell ref="E31:F31"/>
    <mergeCell ref="E32:F32"/>
    <mergeCell ref="C31:D34"/>
    <mergeCell ref="D51:K51"/>
    <mergeCell ref="C56:F56"/>
    <mergeCell ref="D41:J41"/>
    <mergeCell ref="D42:J42"/>
    <mergeCell ref="D45:J45"/>
    <mergeCell ref="D47:I47"/>
    <mergeCell ref="C57:F57"/>
    <mergeCell ref="C36:H36"/>
    <mergeCell ref="I36:J36"/>
    <mergeCell ref="C37:H37"/>
    <mergeCell ref="I37:J37"/>
    <mergeCell ref="D40:J40"/>
    <mergeCell ref="C50:J50"/>
    <mergeCell ref="D48:J48"/>
    <mergeCell ref="D46:J46"/>
    <mergeCell ref="E35:F35"/>
    <mergeCell ref="I31:J31"/>
    <mergeCell ref="I32:J32"/>
    <mergeCell ref="I33:J33"/>
    <mergeCell ref="I34:J34"/>
    <mergeCell ref="G35:H35"/>
    <mergeCell ref="I35:J35"/>
    <mergeCell ref="G31:H31"/>
    <mergeCell ref="G32:H32"/>
    <mergeCell ref="G34:H34"/>
    <mergeCell ref="G33:H33"/>
    <mergeCell ref="E33:F33"/>
    <mergeCell ref="E34:F34"/>
  </mergeCells>
  <printOptions horizontalCentered="1"/>
  <pageMargins left="0.15748031496063" right="0.15748031496063" top="0.39370078740157499" bottom="0.28000000000000003" header="0.15748031496063" footer="0.15748031496063"/>
  <pageSetup paperSize="9" scale="7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68"/>
  <sheetViews>
    <sheetView showGridLines="0" tabSelected="1" view="pageBreakPreview" zoomScale="89" zoomScaleNormal="80" zoomScaleSheetLayoutView="89" workbookViewId="0">
      <selection activeCell="F22" sqref="F22"/>
    </sheetView>
  </sheetViews>
  <sheetFormatPr defaultColWidth="0" defaultRowHeight="18" customHeight="1" zeroHeight="1"/>
  <cols>
    <col min="1" max="1" width="2.26953125" style="77" customWidth="1"/>
    <col min="2" max="2" width="2" style="77" customWidth="1"/>
    <col min="3" max="3" width="8.1796875" style="77" customWidth="1"/>
    <col min="4" max="4" width="26.81640625" style="77" customWidth="1"/>
    <col min="5" max="5" width="5.7265625" style="77" customWidth="1"/>
    <col min="6" max="6" width="39.453125" style="77" customWidth="1"/>
    <col min="7" max="7" width="19.54296875" style="77" customWidth="1"/>
    <col min="8" max="8" width="19.7265625" style="77" customWidth="1"/>
    <col min="9" max="9" width="20.54296875" style="77" customWidth="1"/>
    <col min="10" max="10" width="19.26953125" style="77" customWidth="1"/>
    <col min="11" max="11" width="5.7265625" style="77" customWidth="1"/>
    <col min="12" max="12" width="2" style="77" customWidth="1"/>
    <col min="13" max="13" width="16.26953125" style="77" hidden="1" customWidth="1"/>
    <col min="14" max="14" width="10.26953125" style="77" hidden="1" customWidth="1"/>
    <col min="15" max="15" width="12.7265625" style="77" hidden="1" customWidth="1"/>
    <col min="16" max="16" width="20.26953125" style="77" hidden="1" customWidth="1"/>
    <col min="17" max="16384" width="9.1796875" style="77" hidden="1"/>
  </cols>
  <sheetData>
    <row r="1" spans="1:15" ht="18" customHeight="1">
      <c r="B1" s="78"/>
      <c r="C1" s="79"/>
      <c r="D1" s="79"/>
      <c r="E1" s="79"/>
      <c r="F1" s="79"/>
      <c r="G1" s="79"/>
      <c r="H1" s="80" t="s">
        <v>75</v>
      </c>
      <c r="I1" s="80"/>
      <c r="J1" s="79"/>
      <c r="K1" s="81"/>
    </row>
    <row r="2" spans="1:15" ht="18" customHeight="1">
      <c r="B2" s="82"/>
      <c r="C2" s="83"/>
      <c r="K2" s="84"/>
    </row>
    <row r="3" spans="1:15" ht="18" customHeight="1">
      <c r="B3" s="82"/>
      <c r="C3" s="85"/>
      <c r="K3" s="84"/>
    </row>
    <row r="4" spans="1:15" ht="18" customHeight="1" thickBot="1">
      <c r="B4" s="86"/>
      <c r="C4" s="87"/>
      <c r="D4" s="87"/>
      <c r="E4" s="87"/>
      <c r="F4" s="87"/>
      <c r="G4" s="87"/>
      <c r="H4" s="88" t="s">
        <v>68</v>
      </c>
      <c r="I4" s="165">
        <f ca="1">TODAY()</f>
        <v>45755</v>
      </c>
      <c r="J4" s="165"/>
      <c r="K4" s="89"/>
    </row>
    <row r="5" spans="1:15" ht="18" customHeight="1" thickBot="1">
      <c r="B5" s="86"/>
      <c r="C5" s="87"/>
      <c r="D5" s="87"/>
      <c r="E5" s="87"/>
      <c r="F5" s="87"/>
      <c r="G5" s="87"/>
      <c r="H5" s="88" t="s">
        <v>61</v>
      </c>
      <c r="I5" s="90"/>
      <c r="J5" s="87"/>
      <c r="K5" s="89"/>
      <c r="O5" s="91"/>
    </row>
    <row r="6" spans="1:15" ht="18" customHeight="1">
      <c r="B6" s="86"/>
      <c r="C6" s="87"/>
      <c r="D6" s="87"/>
      <c r="E6" s="87"/>
      <c r="F6" s="87"/>
      <c r="G6" s="87"/>
      <c r="H6" s="88" t="s">
        <v>30</v>
      </c>
      <c r="I6" s="46"/>
      <c r="J6" s="87"/>
      <c r="K6" s="89"/>
      <c r="O6" s="91"/>
    </row>
    <row r="7" spans="1:15" ht="18" customHeight="1">
      <c r="B7" s="86"/>
      <c r="C7" s="92"/>
      <c r="D7" s="87"/>
      <c r="E7" s="87"/>
      <c r="F7" s="87"/>
      <c r="G7" s="87"/>
      <c r="H7" s="87"/>
      <c r="I7" s="87"/>
      <c r="J7" s="87"/>
      <c r="K7" s="89"/>
    </row>
    <row r="8" spans="1:15" ht="18" customHeight="1">
      <c r="B8" s="86"/>
      <c r="C8" s="92"/>
      <c r="D8" s="87"/>
      <c r="E8" s="87"/>
      <c r="F8" s="87"/>
      <c r="G8" s="87"/>
      <c r="H8" s="87"/>
      <c r="I8" s="87"/>
      <c r="J8" s="87"/>
      <c r="K8" s="89"/>
    </row>
    <row r="9" spans="1:15" ht="18" customHeight="1" thickBot="1">
      <c r="B9" s="223" t="s">
        <v>2</v>
      </c>
      <c r="C9" s="224"/>
      <c r="D9" s="224"/>
      <c r="E9" s="224"/>
      <c r="F9" s="224"/>
      <c r="G9" s="224"/>
      <c r="H9" s="224"/>
      <c r="I9" s="224"/>
      <c r="J9" s="224"/>
      <c r="K9" s="225"/>
      <c r="N9" s="93"/>
      <c r="O9" s="94"/>
    </row>
    <row r="10" spans="1:15" s="79" customFormat="1" ht="18" customHeight="1">
      <c r="A10" s="77"/>
      <c r="B10" s="95"/>
      <c r="C10" s="96"/>
      <c r="D10" s="96"/>
      <c r="E10" s="96"/>
      <c r="F10" s="97"/>
      <c r="G10" s="96"/>
      <c r="H10" s="96"/>
      <c r="I10" s="96"/>
      <c r="J10" s="96"/>
      <c r="K10" s="98"/>
    </row>
    <row r="11" spans="1:15" ht="18" customHeight="1" thickBot="1">
      <c r="B11" s="86"/>
      <c r="C11" s="88"/>
      <c r="D11" s="87"/>
      <c r="E11" s="87"/>
      <c r="F11" s="87"/>
      <c r="G11" s="87"/>
      <c r="H11" s="88"/>
      <c r="I11" s="226"/>
      <c r="J11" s="226"/>
      <c r="K11" s="89"/>
    </row>
    <row r="12" spans="1:15" ht="18" customHeight="1" thickBot="1">
      <c r="B12" s="99"/>
      <c r="C12" s="100" t="s">
        <v>3</v>
      </c>
      <c r="D12" s="101"/>
      <c r="E12" s="100"/>
      <c r="F12" s="72"/>
      <c r="G12" s="102"/>
      <c r="H12" s="102"/>
      <c r="I12" s="100"/>
      <c r="J12" s="102"/>
      <c r="K12" s="103"/>
      <c r="O12" s="93"/>
    </row>
    <row r="13" spans="1:15" ht="18" customHeight="1">
      <c r="B13" s="86"/>
      <c r="C13" s="104"/>
      <c r="D13" s="100"/>
      <c r="E13" s="100"/>
      <c r="F13" s="100"/>
      <c r="G13" s="102"/>
      <c r="H13" s="100"/>
      <c r="I13" s="102"/>
      <c r="J13" s="102"/>
      <c r="K13" s="103"/>
    </row>
    <row r="14" spans="1:15" ht="18" customHeight="1" thickBot="1">
      <c r="B14" s="86"/>
      <c r="C14" s="104"/>
      <c r="D14" s="100"/>
      <c r="E14" s="100"/>
      <c r="F14" s="100"/>
      <c r="G14" s="102"/>
      <c r="H14" s="100"/>
      <c r="I14" s="102"/>
      <c r="J14" s="102"/>
      <c r="K14" s="103"/>
    </row>
    <row r="15" spans="1:15" ht="18" customHeight="1" thickBot="1">
      <c r="B15" s="86"/>
      <c r="C15" s="104" t="s">
        <v>31</v>
      </c>
      <c r="D15" s="102"/>
      <c r="E15" s="100"/>
      <c r="F15" s="73"/>
      <c r="G15" s="102"/>
      <c r="H15" s="100"/>
      <c r="I15" s="102"/>
      <c r="J15" s="102"/>
      <c r="K15" s="103"/>
    </row>
    <row r="16" spans="1:15" ht="18" customHeight="1">
      <c r="B16" s="86"/>
      <c r="C16" s="104"/>
      <c r="D16" s="102"/>
      <c r="E16" s="100"/>
      <c r="F16" s="102"/>
      <c r="G16" s="101"/>
      <c r="H16" s="100"/>
      <c r="I16" s="105"/>
      <c r="J16" s="102"/>
      <c r="K16" s="103"/>
    </row>
    <row r="17" spans="2:16" ht="18" customHeight="1">
      <c r="B17" s="106"/>
      <c r="C17" s="107"/>
      <c r="D17" s="107"/>
      <c r="E17" s="107"/>
      <c r="F17" s="107"/>
      <c r="G17" s="107"/>
      <c r="H17" s="25"/>
      <c r="I17" s="107"/>
      <c r="J17" s="107"/>
      <c r="K17" s="108"/>
      <c r="M17" s="91"/>
    </row>
    <row r="18" spans="2:16" ht="18" customHeight="1">
      <c r="B18" s="86"/>
      <c r="C18" s="109"/>
      <c r="D18" s="109"/>
      <c r="E18" s="109"/>
      <c r="F18" s="109"/>
      <c r="G18" s="109"/>
      <c r="I18" s="109"/>
      <c r="J18" s="109"/>
      <c r="K18" s="103"/>
      <c r="M18" s="91"/>
    </row>
    <row r="19" spans="2:16" ht="18" customHeight="1">
      <c r="B19" s="86"/>
      <c r="C19" s="100" t="s">
        <v>5</v>
      </c>
      <c r="D19" s="102"/>
      <c r="E19" s="102"/>
      <c r="F19" s="102"/>
      <c r="G19" s="102"/>
      <c r="H19" s="110"/>
      <c r="I19" s="110"/>
      <c r="J19" s="102"/>
      <c r="K19" s="103"/>
    </row>
    <row r="20" spans="2:16" ht="18" customHeight="1" thickBot="1">
      <c r="B20" s="86"/>
      <c r="C20" s="102"/>
      <c r="D20" s="102"/>
      <c r="E20" s="102"/>
      <c r="F20" s="111"/>
      <c r="G20" s="102"/>
      <c r="H20" s="102"/>
      <c r="I20" s="111"/>
      <c r="J20" s="102"/>
      <c r="K20" s="103"/>
    </row>
    <row r="21" spans="2:16" ht="18" customHeight="1" thickBot="1">
      <c r="B21" s="86"/>
      <c r="C21" s="100" t="s">
        <v>70</v>
      </c>
      <c r="D21" s="102"/>
      <c r="E21" s="110" t="s">
        <v>6</v>
      </c>
      <c r="F21" s="75"/>
      <c r="G21" s="102"/>
      <c r="H21" s="102"/>
      <c r="I21" s="111"/>
      <c r="J21" s="102"/>
      <c r="K21" s="103"/>
    </row>
    <row r="22" spans="2:16" ht="18" customHeight="1" thickBot="1">
      <c r="B22" s="86"/>
      <c r="C22" s="100" t="s">
        <v>4</v>
      </c>
      <c r="D22" s="102"/>
      <c r="E22" s="110" t="s">
        <v>6</v>
      </c>
      <c r="F22" s="74"/>
      <c r="G22" s="102"/>
      <c r="H22" s="102"/>
      <c r="I22" s="102"/>
      <c r="J22" s="102"/>
      <c r="K22" s="103"/>
    </row>
    <row r="23" spans="2:16" ht="18" customHeight="1" thickBot="1">
      <c r="B23" s="86"/>
      <c r="C23" s="100"/>
      <c r="D23" s="102"/>
      <c r="E23" s="110"/>
      <c r="F23" s="76"/>
      <c r="G23" s="102"/>
      <c r="H23" s="102"/>
      <c r="I23" s="102"/>
      <c r="J23" s="102"/>
      <c r="K23" s="103"/>
    </row>
    <row r="24" spans="2:16" ht="18" customHeight="1" thickBot="1">
      <c r="B24" s="86"/>
      <c r="C24" s="112" t="s">
        <v>1</v>
      </c>
      <c r="D24" s="113"/>
      <c r="E24" s="114"/>
      <c r="F24" s="115" t="s">
        <v>69</v>
      </c>
      <c r="G24" s="102"/>
      <c r="H24" s="102"/>
      <c r="I24" s="102"/>
      <c r="J24" s="102"/>
      <c r="K24" s="103"/>
    </row>
    <row r="25" spans="2:16" ht="18" customHeight="1" thickBot="1">
      <c r="B25" s="86"/>
      <c r="C25" s="227">
        <f>F12</f>
        <v>0</v>
      </c>
      <c r="D25" s="228"/>
      <c r="E25" s="114" t="s">
        <v>6</v>
      </c>
      <c r="F25" s="134">
        <f ca="1">DATEDIF(I5,I4,"Y")+1</f>
        <v>126</v>
      </c>
      <c r="G25" s="102"/>
      <c r="H25" s="102"/>
      <c r="I25" s="102"/>
      <c r="J25" s="102"/>
      <c r="K25" s="103"/>
    </row>
    <row r="26" spans="2:16" ht="18" customHeight="1">
      <c r="B26" s="106"/>
      <c r="C26" s="107"/>
      <c r="D26" s="107"/>
      <c r="E26" s="107"/>
      <c r="F26" s="107"/>
      <c r="G26" s="107"/>
      <c r="H26" s="107"/>
      <c r="I26" s="107"/>
      <c r="J26" s="107"/>
      <c r="K26" s="108"/>
      <c r="N26" s="91"/>
    </row>
    <row r="27" spans="2:16" ht="18" customHeight="1">
      <c r="B27" s="86"/>
      <c r="C27" s="100" t="s">
        <v>8</v>
      </c>
      <c r="D27" s="102"/>
      <c r="E27" s="102"/>
      <c r="F27" s="102"/>
      <c r="G27" s="102"/>
      <c r="H27" s="102"/>
      <c r="I27" s="102"/>
      <c r="J27" s="102"/>
      <c r="K27" s="103"/>
      <c r="N27" s="91"/>
    </row>
    <row r="28" spans="2:16" ht="18" customHeight="1" thickBot="1">
      <c r="B28" s="86"/>
      <c r="C28" s="116"/>
      <c r="D28" s="110"/>
      <c r="E28" s="110"/>
      <c r="F28" s="110"/>
      <c r="G28" s="102"/>
      <c r="H28" s="102"/>
      <c r="I28" s="102"/>
      <c r="J28" s="102"/>
      <c r="K28" s="103"/>
    </row>
    <row r="29" spans="2:16" ht="25.5" customHeight="1" thickBot="1">
      <c r="B29" s="86"/>
      <c r="C29" s="229" t="s">
        <v>9</v>
      </c>
      <c r="D29" s="230"/>
      <c r="E29" s="231" t="s">
        <v>10</v>
      </c>
      <c r="F29" s="230"/>
      <c r="G29" s="229" t="s">
        <v>11</v>
      </c>
      <c r="H29" s="230"/>
      <c r="I29" s="229" t="s">
        <v>12</v>
      </c>
      <c r="J29" s="230"/>
      <c r="K29" s="103"/>
    </row>
    <row r="30" spans="2:16" ht="10.5" customHeight="1" thickBot="1">
      <c r="B30" s="86"/>
      <c r="C30" s="199"/>
      <c r="D30" s="199"/>
      <c r="E30" s="200"/>
      <c r="F30" s="200"/>
      <c r="G30" s="199"/>
      <c r="H30" s="199"/>
      <c r="I30" s="199"/>
      <c r="J30" s="199"/>
      <c r="K30" s="103"/>
    </row>
    <row r="31" spans="2:16" ht="21" customHeight="1">
      <c r="B31" s="86"/>
      <c r="C31" s="201" t="s">
        <v>13</v>
      </c>
      <c r="D31" s="202"/>
      <c r="E31" s="205" t="s">
        <v>14</v>
      </c>
      <c r="F31" s="206"/>
      <c r="G31" s="207" t="b">
        <f ca="1">IF(F25&lt;65,F22)</f>
        <v>0</v>
      </c>
      <c r="H31" s="208"/>
      <c r="I31" s="211">
        <f ca="1">(G31*6.5/1000)+(G33*0.5/1000)+(G34*10/1000)</f>
        <v>0</v>
      </c>
      <c r="J31" s="212"/>
      <c r="K31" s="103"/>
      <c r="M31" s="117"/>
      <c r="P31" s="117"/>
    </row>
    <row r="32" spans="2:16" ht="21" customHeight="1">
      <c r="B32" s="86"/>
      <c r="C32" s="203"/>
      <c r="D32" s="204"/>
      <c r="E32" s="217" t="s">
        <v>53</v>
      </c>
      <c r="F32" s="218"/>
      <c r="G32" s="209"/>
      <c r="H32" s="210"/>
      <c r="I32" s="213"/>
      <c r="J32" s="214"/>
      <c r="K32" s="103"/>
      <c r="M32" s="117"/>
      <c r="P32" s="117"/>
    </row>
    <row r="33" spans="2:16" ht="40.5" customHeight="1">
      <c r="B33" s="86"/>
      <c r="C33" s="203"/>
      <c r="D33" s="204"/>
      <c r="E33" s="219" t="s">
        <v>54</v>
      </c>
      <c r="F33" s="220"/>
      <c r="G33" s="209" t="b">
        <f ca="1">IF(F25&lt;59.1,MIN(G31*30%,12000000))</f>
        <v>0</v>
      </c>
      <c r="H33" s="210"/>
      <c r="I33" s="213"/>
      <c r="J33" s="214"/>
      <c r="K33" s="103"/>
      <c r="M33" s="117"/>
      <c r="P33" s="117"/>
    </row>
    <row r="34" spans="2:16" ht="21" customHeight="1" thickBot="1">
      <c r="B34" s="86"/>
      <c r="C34" s="203"/>
      <c r="D34" s="204"/>
      <c r="E34" s="221" t="s">
        <v>55</v>
      </c>
      <c r="F34" s="222"/>
      <c r="G34" s="209" t="b">
        <f ca="1">IF(F25&lt;65,300000)</f>
        <v>0</v>
      </c>
      <c r="H34" s="210"/>
      <c r="I34" s="215"/>
      <c r="J34" s="216"/>
      <c r="K34" s="103"/>
    </row>
    <row r="35" spans="2:16" ht="27.75" customHeight="1" thickTop="1" thickBot="1">
      <c r="B35" s="118"/>
      <c r="C35" s="156" t="s">
        <v>60</v>
      </c>
      <c r="D35" s="157"/>
      <c r="E35" s="187"/>
      <c r="F35" s="187"/>
      <c r="G35" s="157"/>
      <c r="H35" s="158"/>
      <c r="I35" s="188">
        <f ca="1">SUM(I31:J34)</f>
        <v>0</v>
      </c>
      <c r="J35" s="189"/>
      <c r="K35" s="119"/>
    </row>
    <row r="36" spans="2:16" ht="29.25" customHeight="1" thickTop="1" thickBot="1">
      <c r="B36" s="86"/>
      <c r="C36" s="190" t="s">
        <v>16</v>
      </c>
      <c r="D36" s="191"/>
      <c r="E36" s="192"/>
      <c r="F36" s="192"/>
      <c r="G36" s="191"/>
      <c r="H36" s="193"/>
      <c r="I36" s="194">
        <f ca="1">I35</f>
        <v>0</v>
      </c>
      <c r="J36" s="195"/>
      <c r="K36" s="103"/>
    </row>
    <row r="37" spans="2:16" ht="18" customHeight="1" thickTop="1">
      <c r="B37" s="86"/>
      <c r="C37" s="120"/>
      <c r="D37" s="120"/>
      <c r="E37" s="120"/>
      <c r="F37" s="120"/>
      <c r="G37" s="120"/>
      <c r="H37" s="120"/>
      <c r="I37" s="121"/>
      <c r="J37" s="121"/>
      <c r="K37" s="103"/>
    </row>
    <row r="38" spans="2:16" ht="18" customHeight="1">
      <c r="B38" s="86"/>
      <c r="C38" s="120"/>
      <c r="D38" s="120"/>
      <c r="E38" s="120"/>
      <c r="F38" s="120"/>
      <c r="G38" s="120"/>
      <c r="H38" s="120"/>
      <c r="I38" s="121"/>
      <c r="J38" s="121"/>
      <c r="K38" s="103"/>
    </row>
    <row r="39" spans="2:16" ht="18" customHeight="1">
      <c r="B39" s="86"/>
      <c r="C39" s="100" t="s">
        <v>18</v>
      </c>
      <c r="K39" s="103"/>
    </row>
    <row r="40" spans="2:16" ht="18" customHeight="1">
      <c r="B40" s="86"/>
      <c r="C40" s="110">
        <v>1</v>
      </c>
      <c r="D40" s="197" t="s">
        <v>19</v>
      </c>
      <c r="E40" s="197"/>
      <c r="F40" s="197"/>
      <c r="G40" s="197"/>
      <c r="H40" s="197"/>
      <c r="I40" s="197"/>
      <c r="J40" s="197"/>
      <c r="K40" s="122"/>
    </row>
    <row r="41" spans="2:16" ht="18" customHeight="1">
      <c r="B41" s="86"/>
      <c r="C41" s="110">
        <f>C40+1</f>
        <v>2</v>
      </c>
      <c r="D41" s="197" t="s">
        <v>63</v>
      </c>
      <c r="E41" s="197"/>
      <c r="F41" s="197"/>
      <c r="G41" s="197"/>
      <c r="H41" s="197"/>
      <c r="I41" s="197"/>
      <c r="J41" s="197"/>
      <c r="K41" s="122"/>
    </row>
    <row r="42" spans="2:16" ht="33.75" customHeight="1">
      <c r="B42" s="86"/>
      <c r="C42" s="110">
        <f t="shared" ref="C42" si="0">C41+1</f>
        <v>3</v>
      </c>
      <c r="D42" s="196" t="s">
        <v>21</v>
      </c>
      <c r="E42" s="196"/>
      <c r="F42" s="196"/>
      <c r="G42" s="196"/>
      <c r="H42" s="196"/>
      <c r="I42" s="196"/>
      <c r="J42" s="196"/>
      <c r="K42" s="122"/>
    </row>
    <row r="43" spans="2:16" ht="38.25" customHeight="1">
      <c r="B43" s="86"/>
      <c r="C43" s="110">
        <v>4</v>
      </c>
      <c r="D43" s="186" t="s">
        <v>76</v>
      </c>
      <c r="E43" s="186"/>
      <c r="F43" s="186"/>
      <c r="G43" s="186"/>
      <c r="H43" s="186"/>
      <c r="I43" s="186"/>
      <c r="J43" s="186"/>
      <c r="K43" s="122"/>
    </row>
    <row r="44" spans="2:16" ht="17.25" customHeight="1">
      <c r="B44" s="86"/>
      <c r="C44" s="116" t="s">
        <v>22</v>
      </c>
      <c r="D44" s="124"/>
      <c r="E44" s="124"/>
      <c r="F44" s="124"/>
      <c r="G44" s="124"/>
      <c r="H44" s="124"/>
      <c r="I44" s="124"/>
      <c r="J44" s="124"/>
      <c r="K44" s="122"/>
    </row>
    <row r="45" spans="2:16" ht="17.25" customHeight="1">
      <c r="B45" s="86"/>
      <c r="C45" s="110">
        <v>1</v>
      </c>
      <c r="D45" s="197" t="s">
        <v>23</v>
      </c>
      <c r="E45" s="197"/>
      <c r="F45" s="197"/>
      <c r="G45" s="197"/>
      <c r="H45" s="197"/>
      <c r="I45" s="197"/>
      <c r="J45" s="197"/>
      <c r="K45" s="122"/>
    </row>
    <row r="46" spans="2:16" ht="17.25" customHeight="1">
      <c r="B46" s="86"/>
      <c r="C46" s="110">
        <f t="shared" ref="C46" si="1">C45+1</f>
        <v>2</v>
      </c>
      <c r="D46" s="197" t="s">
        <v>64</v>
      </c>
      <c r="E46" s="198"/>
      <c r="F46" s="198"/>
      <c r="G46" s="198"/>
      <c r="H46" s="198"/>
      <c r="I46" s="198"/>
      <c r="J46" s="198"/>
      <c r="K46" s="122"/>
    </row>
    <row r="47" spans="2:16" ht="17.25" customHeight="1">
      <c r="B47" s="86"/>
      <c r="C47" s="110">
        <v>3</v>
      </c>
      <c r="D47" s="186" t="s">
        <v>65</v>
      </c>
      <c r="E47" s="186"/>
      <c r="F47" s="186"/>
      <c r="G47" s="186"/>
      <c r="H47" s="186"/>
      <c r="I47" s="186"/>
      <c r="J47" s="123"/>
      <c r="K47" s="122"/>
    </row>
    <row r="48" spans="2:16" ht="17.25" customHeight="1">
      <c r="B48" s="86"/>
      <c r="C48" s="110">
        <v>4</v>
      </c>
      <c r="D48" s="186" t="s">
        <v>71</v>
      </c>
      <c r="E48" s="186"/>
      <c r="F48" s="186"/>
      <c r="G48" s="186"/>
      <c r="H48" s="186"/>
      <c r="I48" s="186"/>
      <c r="J48" s="123"/>
      <c r="K48" s="122"/>
    </row>
    <row r="49" spans="1:11" ht="15.75" customHeight="1">
      <c r="B49" s="86"/>
      <c r="C49" s="110">
        <v>5</v>
      </c>
      <c r="D49" s="197" t="s">
        <v>66</v>
      </c>
      <c r="E49" s="197"/>
      <c r="F49" s="197"/>
      <c r="G49" s="197"/>
      <c r="H49" s="197"/>
      <c r="I49" s="197"/>
      <c r="J49" s="197"/>
      <c r="K49" s="122"/>
    </row>
    <row r="50" spans="1:11" ht="15.75" customHeight="1">
      <c r="B50" s="86"/>
      <c r="C50" s="110">
        <v>6</v>
      </c>
      <c r="D50" s="197" t="s">
        <v>67</v>
      </c>
      <c r="E50" s="197"/>
      <c r="F50" s="197"/>
      <c r="G50" s="197"/>
      <c r="H50" s="197"/>
      <c r="I50" s="197"/>
      <c r="J50" s="197"/>
      <c r="K50" s="122"/>
    </row>
    <row r="51" spans="1:11" ht="15.75" customHeight="1">
      <c r="B51" s="86"/>
      <c r="C51" s="110">
        <v>7</v>
      </c>
      <c r="D51" s="186" t="s">
        <v>74</v>
      </c>
      <c r="E51" s="186"/>
      <c r="F51" s="186"/>
      <c r="G51" s="186"/>
      <c r="H51" s="186"/>
      <c r="I51" s="186"/>
      <c r="J51" s="186"/>
      <c r="K51" s="122"/>
    </row>
    <row r="52" spans="1:11" s="124" customFormat="1" ht="15.75" customHeight="1">
      <c r="A52" s="77"/>
      <c r="B52" s="86"/>
      <c r="C52" s="110">
        <v>8</v>
      </c>
      <c r="D52" s="186" t="s">
        <v>73</v>
      </c>
      <c r="E52" s="186"/>
      <c r="F52" s="186"/>
      <c r="G52" s="186"/>
      <c r="H52" s="186"/>
      <c r="I52" s="186"/>
      <c r="J52" s="186"/>
      <c r="K52" s="236"/>
    </row>
    <row r="53" spans="1:11" s="124" customFormat="1" ht="15.75" customHeight="1">
      <c r="A53" s="77"/>
      <c r="B53" s="86"/>
      <c r="C53" s="110">
        <v>9</v>
      </c>
      <c r="D53" s="186" t="s">
        <v>72</v>
      </c>
      <c r="E53" s="186"/>
      <c r="F53" s="186"/>
      <c r="G53" s="186"/>
      <c r="H53" s="186"/>
      <c r="I53" s="186"/>
      <c r="J53" s="186"/>
      <c r="K53" s="236"/>
    </row>
    <row r="54" spans="1:11" s="125" customFormat="1" ht="15.75" customHeight="1">
      <c r="A54" s="77"/>
      <c r="B54" s="86"/>
      <c r="C54" s="110"/>
      <c r="K54" s="126"/>
    </row>
    <row r="55" spans="1:11" ht="24" customHeight="1">
      <c r="B55" s="86"/>
      <c r="C55" s="242" t="s">
        <v>37</v>
      </c>
      <c r="D55" s="242"/>
      <c r="E55" s="242"/>
      <c r="F55" s="242"/>
      <c r="G55" s="242"/>
      <c r="H55" s="242"/>
      <c r="I55" s="242"/>
      <c r="J55" s="242"/>
      <c r="K55" s="122"/>
    </row>
    <row r="56" spans="1:11" ht="18" customHeight="1">
      <c r="B56" s="86"/>
      <c r="C56" s="102"/>
      <c r="D56" s="127"/>
      <c r="E56" s="127"/>
      <c r="F56" s="127"/>
      <c r="G56" s="127"/>
      <c r="H56" s="127"/>
      <c r="I56" s="127"/>
      <c r="J56" s="127"/>
      <c r="K56" s="128"/>
    </row>
    <row r="57" spans="1:11" ht="18" customHeight="1">
      <c r="B57" s="86"/>
      <c r="C57" s="102" t="s">
        <v>24</v>
      </c>
      <c r="D57" s="100"/>
      <c r="E57" s="100"/>
      <c r="G57" s="100"/>
      <c r="H57" s="100"/>
      <c r="I57" s="100"/>
      <c r="J57" s="102"/>
      <c r="K57" s="84"/>
    </row>
    <row r="58" spans="1:11" ht="18" customHeight="1">
      <c r="B58" s="86"/>
      <c r="C58" s="100" t="s">
        <v>35</v>
      </c>
      <c r="D58" s="102"/>
      <c r="E58" s="102"/>
      <c r="F58" s="102"/>
      <c r="G58" s="102"/>
      <c r="H58" s="102"/>
      <c r="I58" s="102"/>
      <c r="J58" s="102"/>
      <c r="K58" s="84"/>
    </row>
    <row r="59" spans="1:11" ht="18" customHeight="1">
      <c r="B59" s="86"/>
      <c r="C59" s="102"/>
      <c r="D59" s="102"/>
      <c r="E59" s="102"/>
      <c r="F59" s="102"/>
      <c r="G59" s="102"/>
      <c r="H59" s="102"/>
      <c r="I59" s="102"/>
      <c r="J59" s="102"/>
      <c r="K59" s="84"/>
    </row>
    <row r="60" spans="1:11" ht="18" customHeight="1" thickBot="1">
      <c r="B60" s="129"/>
      <c r="C60" s="237" t="s">
        <v>59</v>
      </c>
      <c r="D60" s="237"/>
      <c r="E60" s="238"/>
      <c r="F60" s="130"/>
      <c r="G60" s="237" t="s">
        <v>62</v>
      </c>
      <c r="H60" s="237"/>
      <c r="I60" s="237"/>
      <c r="J60" s="238"/>
      <c r="K60" s="131"/>
    </row>
    <row r="61" spans="1:11" ht="18" customHeight="1">
      <c r="B61" s="95"/>
      <c r="C61" s="239" t="s">
        <v>59</v>
      </c>
      <c r="D61" s="240"/>
      <c r="E61" s="240"/>
      <c r="F61" s="132"/>
      <c r="G61" s="149" t="s">
        <v>62</v>
      </c>
      <c r="H61" s="149"/>
      <c r="I61" s="149"/>
      <c r="J61" s="241"/>
      <c r="K61" s="81"/>
    </row>
    <row r="62" spans="1:11" s="133" customFormat="1" ht="18" customHeight="1" thickBot="1">
      <c r="A62" s="77"/>
      <c r="B62" s="129"/>
      <c r="C62" s="232" t="s">
        <v>34</v>
      </c>
      <c r="D62" s="233"/>
      <c r="E62" s="233"/>
      <c r="F62" s="130"/>
      <c r="G62" s="234" t="s">
        <v>34</v>
      </c>
      <c r="H62" s="234"/>
      <c r="I62" s="234"/>
      <c r="J62" s="235"/>
      <c r="K62" s="131"/>
    </row>
    <row r="63" spans="1:11" ht="18" customHeight="1" thickBot="1">
      <c r="B63" s="129"/>
      <c r="C63" s="102"/>
      <c r="D63" s="102"/>
      <c r="E63" s="102"/>
      <c r="F63" s="102"/>
      <c r="G63" s="102"/>
      <c r="H63" s="102"/>
      <c r="I63" s="102"/>
      <c r="J63" s="102"/>
    </row>
    <row r="64" spans="1:11" ht="18" customHeight="1"/>
    <row r="65" ht="18" customHeight="1"/>
    <row r="66" ht="18" customHeight="1"/>
    <row r="67" ht="18" customHeight="1"/>
    <row r="68" ht="18" customHeight="1"/>
  </sheetData>
  <sheetProtection algorithmName="SHA-512" hashValue="d2NYQXyZWG8r1OuVG2nAlrKzVup680ZpY+q24jGWlSTl3nVxvOJirGEtwEsjUtQuirHTYcAzs2SBQgsZk+8SqQ==" saltValue="UDn7gmvCZaEUrhODUDmVWA==" spinCount="100000" sheet="1" objects="1" scenarios="1"/>
  <mergeCells count="42">
    <mergeCell ref="C62:E62"/>
    <mergeCell ref="G62:J62"/>
    <mergeCell ref="D52:K52"/>
    <mergeCell ref="C60:E60"/>
    <mergeCell ref="G60:J60"/>
    <mergeCell ref="C61:E61"/>
    <mergeCell ref="G61:J61"/>
    <mergeCell ref="C55:J55"/>
    <mergeCell ref="D53:K53"/>
    <mergeCell ref="I4:J4"/>
    <mergeCell ref="B9:K9"/>
    <mergeCell ref="I11:J11"/>
    <mergeCell ref="C25:D25"/>
    <mergeCell ref="C29:D29"/>
    <mergeCell ref="E29:F29"/>
    <mergeCell ref="G29:H29"/>
    <mergeCell ref="I29:J29"/>
    <mergeCell ref="C30:J30"/>
    <mergeCell ref="C31:D34"/>
    <mergeCell ref="E31:F31"/>
    <mergeCell ref="G31:H32"/>
    <mergeCell ref="I31:J34"/>
    <mergeCell ref="E32:F32"/>
    <mergeCell ref="E33:F33"/>
    <mergeCell ref="G33:H33"/>
    <mergeCell ref="E34:F34"/>
    <mergeCell ref="G34:H34"/>
    <mergeCell ref="D51:J51"/>
    <mergeCell ref="C35:H35"/>
    <mergeCell ref="I35:J35"/>
    <mergeCell ref="C36:H36"/>
    <mergeCell ref="I36:J36"/>
    <mergeCell ref="D42:J42"/>
    <mergeCell ref="D40:J40"/>
    <mergeCell ref="D45:J45"/>
    <mergeCell ref="D47:I47"/>
    <mergeCell ref="D50:J50"/>
    <mergeCell ref="D41:J41"/>
    <mergeCell ref="D46:J46"/>
    <mergeCell ref="D49:J49"/>
    <mergeCell ref="D48:I48"/>
    <mergeCell ref="D43:J43"/>
  </mergeCells>
  <printOptions horizontalCentered="1"/>
  <pageMargins left="0.15748031496063" right="0.15748031496063" top="0.39370078740157499" bottom="0.28000000000000003" header="0.15748031496063" footer="0.15748031496063"/>
  <pageSetup paperSize="9" scale="61" orientation="portrait" r:id="rId1"/>
  <colBreaks count="1" manualBreakCount="1">
    <brk id="12" max="61"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L56"/>
  <sheetViews>
    <sheetView workbookViewId="0">
      <selection activeCell="G4" sqref="G4"/>
    </sheetView>
  </sheetViews>
  <sheetFormatPr defaultColWidth="9.1796875" defaultRowHeight="14"/>
  <cols>
    <col min="1" max="1" width="9.1796875" style="51"/>
    <col min="2" max="2" width="6.7265625" style="51" customWidth="1"/>
    <col min="3" max="6" width="9.1796875" style="51"/>
    <col min="7" max="7" width="13.81640625" style="51" bestFit="1" customWidth="1"/>
    <col min="8" max="8" width="12.81640625" style="51" bestFit="1" customWidth="1"/>
    <col min="9" max="9" width="13.81640625" style="51" bestFit="1" customWidth="1"/>
    <col min="10" max="10" width="9.1796875" style="51"/>
    <col min="11" max="12" width="11.26953125" style="51" bestFit="1" customWidth="1"/>
    <col min="13" max="16384" width="9.1796875" style="51"/>
  </cols>
  <sheetData>
    <row r="1" spans="1:8">
      <c r="A1" s="50" t="s">
        <v>36</v>
      </c>
      <c r="B1" s="50"/>
      <c r="C1" s="50"/>
      <c r="D1" s="50"/>
      <c r="E1" s="50"/>
      <c r="F1" s="50"/>
      <c r="G1" s="50"/>
      <c r="H1" s="50"/>
    </row>
    <row r="3" spans="1:8">
      <c r="A3" s="50" t="s">
        <v>26</v>
      </c>
      <c r="B3" s="50"/>
      <c r="C3" s="50"/>
      <c r="D3" s="50"/>
      <c r="E3" s="50"/>
      <c r="F3" s="50"/>
      <c r="G3" s="50"/>
      <c r="H3" s="50"/>
    </row>
    <row r="5" spans="1:8">
      <c r="A5" s="51" t="s">
        <v>27</v>
      </c>
    </row>
    <row r="7" spans="1:8">
      <c r="A7" s="51" t="s">
        <v>28</v>
      </c>
      <c r="C7" s="51" t="s">
        <v>29</v>
      </c>
    </row>
    <row r="9" spans="1:8">
      <c r="B9" s="51">
        <v>18</v>
      </c>
      <c r="C9" s="52">
        <v>4.7699999999999996</v>
      </c>
      <c r="F9" s="53"/>
      <c r="H9" s="53"/>
    </row>
    <row r="10" spans="1:8">
      <c r="B10" s="51">
        <v>19</v>
      </c>
      <c r="C10" s="52">
        <v>4.7699999999999996</v>
      </c>
    </row>
    <row r="11" spans="1:8">
      <c r="B11" s="51">
        <v>20</v>
      </c>
      <c r="C11" s="52">
        <v>4.7699999999999996</v>
      </c>
    </row>
    <row r="12" spans="1:8">
      <c r="B12" s="51">
        <v>21</v>
      </c>
      <c r="C12" s="52">
        <v>4.7699999999999996</v>
      </c>
    </row>
    <row r="13" spans="1:8">
      <c r="B13" s="51">
        <v>22</v>
      </c>
      <c r="C13" s="52">
        <v>4.7699999999999996</v>
      </c>
    </row>
    <row r="14" spans="1:8">
      <c r="B14" s="51">
        <v>23</v>
      </c>
      <c r="C14" s="52">
        <v>4.79</v>
      </c>
    </row>
    <row r="15" spans="1:8">
      <c r="B15" s="51">
        <v>24</v>
      </c>
      <c r="C15" s="52">
        <v>4.79</v>
      </c>
    </row>
    <row r="16" spans="1:8">
      <c r="B16" s="51">
        <v>25</v>
      </c>
      <c r="C16" s="52">
        <v>4.79</v>
      </c>
    </row>
    <row r="17" spans="2:12">
      <c r="B17" s="51">
        <v>26</v>
      </c>
      <c r="C17" s="52">
        <v>4.8</v>
      </c>
      <c r="E17" s="54"/>
    </row>
    <row r="18" spans="2:12">
      <c r="B18" s="51">
        <v>27</v>
      </c>
      <c r="C18" s="52">
        <v>4.8</v>
      </c>
      <c r="E18" s="54"/>
    </row>
    <row r="19" spans="2:12">
      <c r="B19" s="51">
        <v>28</v>
      </c>
      <c r="C19" s="52">
        <v>4.82</v>
      </c>
    </row>
    <row r="20" spans="2:12">
      <c r="B20" s="51">
        <v>29</v>
      </c>
      <c r="C20" s="52">
        <v>4.84</v>
      </c>
    </row>
    <row r="21" spans="2:12">
      <c r="B21" s="51">
        <v>30</v>
      </c>
      <c r="C21" s="52">
        <v>4.8600000000000003</v>
      </c>
    </row>
    <row r="22" spans="2:12">
      <c r="B22" s="51">
        <v>31</v>
      </c>
      <c r="C22" s="52">
        <v>4.9000000000000004</v>
      </c>
    </row>
    <row r="23" spans="2:12">
      <c r="B23" s="51">
        <v>32</v>
      </c>
      <c r="C23" s="52">
        <v>4.93</v>
      </c>
    </row>
    <row r="24" spans="2:12">
      <c r="B24" s="51">
        <v>33</v>
      </c>
      <c r="C24" s="52">
        <v>4.99</v>
      </c>
    </row>
    <row r="25" spans="2:12">
      <c r="B25" s="51">
        <v>34</v>
      </c>
      <c r="C25" s="52">
        <v>5.0599999999999996</v>
      </c>
    </row>
    <row r="26" spans="2:12">
      <c r="B26" s="51">
        <v>35</v>
      </c>
      <c r="C26" s="52">
        <v>5.15</v>
      </c>
    </row>
    <row r="27" spans="2:12">
      <c r="B27" s="51">
        <v>36</v>
      </c>
      <c r="C27" s="52">
        <v>5.28</v>
      </c>
    </row>
    <row r="28" spans="2:12">
      <c r="B28" s="51">
        <v>37</v>
      </c>
      <c r="C28" s="52">
        <v>5.42</v>
      </c>
    </row>
    <row r="29" spans="2:12">
      <c r="B29" s="51">
        <v>38</v>
      </c>
      <c r="C29" s="52">
        <v>5.62</v>
      </c>
    </row>
    <row r="30" spans="2:12">
      <c r="B30" s="51">
        <v>39</v>
      </c>
      <c r="C30" s="52">
        <v>5.86</v>
      </c>
      <c r="G30" s="55"/>
      <c r="H30" s="56"/>
      <c r="I30" s="56"/>
      <c r="J30" s="52"/>
      <c r="K30" s="57"/>
      <c r="L30" s="57"/>
    </row>
    <row r="31" spans="2:12">
      <c r="B31" s="51">
        <v>40</v>
      </c>
      <c r="C31" s="52">
        <v>6.17</v>
      </c>
      <c r="G31" s="58"/>
      <c r="H31" s="56"/>
      <c r="I31" s="56"/>
      <c r="J31" s="52"/>
      <c r="K31" s="57"/>
    </row>
    <row r="32" spans="2:12">
      <c r="B32" s="51">
        <v>41</v>
      </c>
      <c r="C32" s="52">
        <v>6.78</v>
      </c>
      <c r="G32" s="58"/>
      <c r="H32" s="56"/>
      <c r="I32" s="56"/>
      <c r="J32" s="52"/>
      <c r="K32" s="57"/>
    </row>
    <row r="33" spans="2:11">
      <c r="B33" s="51">
        <v>42</v>
      </c>
      <c r="C33" s="52">
        <v>7.2</v>
      </c>
      <c r="G33" s="58"/>
      <c r="H33" s="56"/>
      <c r="I33" s="56"/>
      <c r="J33" s="52"/>
      <c r="K33" s="57"/>
    </row>
    <row r="34" spans="2:11">
      <c r="B34" s="51">
        <v>43</v>
      </c>
      <c r="C34" s="52">
        <v>7.71</v>
      </c>
      <c r="G34" s="58"/>
      <c r="H34" s="56"/>
      <c r="I34" s="56"/>
      <c r="J34" s="52"/>
      <c r="K34" s="57"/>
    </row>
    <row r="35" spans="2:11">
      <c r="B35" s="51">
        <v>44</v>
      </c>
      <c r="C35" s="52">
        <v>8.31</v>
      </c>
      <c r="G35" s="58"/>
      <c r="H35" s="56"/>
      <c r="I35" s="56"/>
      <c r="J35" s="52"/>
      <c r="K35" s="57"/>
    </row>
    <row r="36" spans="2:11">
      <c r="B36" s="51">
        <v>45</v>
      </c>
      <c r="C36" s="52">
        <v>9</v>
      </c>
      <c r="G36" s="58"/>
      <c r="H36" s="56"/>
      <c r="I36" s="56"/>
      <c r="J36" s="52"/>
      <c r="K36" s="57"/>
    </row>
    <row r="37" spans="2:11">
      <c r="B37" s="51">
        <v>46</v>
      </c>
      <c r="C37" s="52">
        <v>9.76</v>
      </c>
      <c r="G37" s="58"/>
      <c r="H37" s="56"/>
      <c r="I37" s="56"/>
      <c r="J37" s="52"/>
      <c r="K37" s="57"/>
    </row>
    <row r="38" spans="2:11">
      <c r="B38" s="51">
        <v>47</v>
      </c>
      <c r="C38" s="52">
        <v>10.64</v>
      </c>
      <c r="G38" s="58"/>
      <c r="H38" s="56"/>
      <c r="I38" s="56"/>
      <c r="J38" s="52"/>
      <c r="K38" s="57"/>
    </row>
    <row r="39" spans="2:11">
      <c r="B39" s="51">
        <v>48</v>
      </c>
      <c r="C39" s="52">
        <v>11.62</v>
      </c>
      <c r="G39" s="58"/>
      <c r="H39" s="56"/>
      <c r="I39" s="56"/>
      <c r="J39" s="52"/>
      <c r="K39" s="57"/>
    </row>
    <row r="40" spans="2:11">
      <c r="B40" s="51">
        <v>49</v>
      </c>
      <c r="C40" s="52">
        <v>12.71</v>
      </c>
      <c r="G40" s="58"/>
      <c r="H40" s="56"/>
      <c r="I40" s="56"/>
      <c r="J40" s="52"/>
      <c r="K40" s="57"/>
    </row>
    <row r="41" spans="2:11">
      <c r="B41" s="51">
        <v>50</v>
      </c>
      <c r="C41" s="52">
        <v>13.89</v>
      </c>
      <c r="G41" s="58"/>
      <c r="H41" s="56"/>
      <c r="I41" s="56"/>
      <c r="J41" s="52"/>
      <c r="K41" s="57"/>
    </row>
    <row r="42" spans="2:11">
      <c r="B42" s="51">
        <v>51</v>
      </c>
      <c r="C42" s="52">
        <v>15.7</v>
      </c>
      <c r="G42" s="58"/>
      <c r="H42" s="56"/>
      <c r="I42" s="56"/>
      <c r="J42" s="52"/>
      <c r="K42" s="57"/>
    </row>
    <row r="43" spans="2:11">
      <c r="B43" s="51">
        <v>52</v>
      </c>
      <c r="C43" s="52">
        <v>17.14</v>
      </c>
      <c r="G43" s="58"/>
      <c r="H43" s="56"/>
      <c r="I43" s="56"/>
      <c r="J43" s="52"/>
      <c r="K43" s="57"/>
    </row>
    <row r="44" spans="2:11">
      <c r="B44" s="51">
        <v>53</v>
      </c>
      <c r="C44" s="52">
        <v>18.72</v>
      </c>
      <c r="G44" s="58"/>
      <c r="H44" s="56"/>
      <c r="I44" s="56"/>
      <c r="J44" s="52"/>
      <c r="K44" s="57"/>
    </row>
    <row r="45" spans="2:11">
      <c r="B45" s="51">
        <v>54</v>
      </c>
      <c r="C45" s="52">
        <v>20.43</v>
      </c>
      <c r="G45" s="56"/>
      <c r="J45" s="52"/>
    </row>
    <row r="46" spans="2:11">
      <c r="B46" s="51">
        <v>55</v>
      </c>
      <c r="C46" s="52">
        <v>22.32</v>
      </c>
      <c r="G46" s="57"/>
      <c r="H46" s="57"/>
      <c r="I46" s="57"/>
      <c r="K46" s="57"/>
    </row>
    <row r="47" spans="2:11">
      <c r="B47" s="51">
        <v>56</v>
      </c>
      <c r="C47" s="52">
        <v>24.37</v>
      </c>
      <c r="G47" s="56"/>
      <c r="I47" s="57"/>
    </row>
    <row r="48" spans="2:11">
      <c r="B48" s="51">
        <v>57</v>
      </c>
      <c r="C48" s="52">
        <v>26.63</v>
      </c>
      <c r="G48" s="56"/>
    </row>
    <row r="49" spans="2:7">
      <c r="B49" s="51">
        <v>58</v>
      </c>
      <c r="C49" s="52">
        <v>29.1</v>
      </c>
      <c r="G49" s="56"/>
    </row>
    <row r="50" spans="2:7">
      <c r="B50" s="51">
        <v>59</v>
      </c>
      <c r="C50" s="52">
        <v>31.81</v>
      </c>
      <c r="G50" s="56"/>
    </row>
    <row r="51" spans="2:7">
      <c r="B51" s="51">
        <v>60</v>
      </c>
      <c r="C51" s="52">
        <v>34.770000000000003</v>
      </c>
      <c r="E51" s="52"/>
    </row>
    <row r="52" spans="2:7">
      <c r="B52" s="51">
        <v>61</v>
      </c>
      <c r="C52" s="52">
        <v>38.28</v>
      </c>
    </row>
    <row r="53" spans="2:7">
      <c r="B53" s="51">
        <v>62</v>
      </c>
      <c r="C53" s="52">
        <v>41.86</v>
      </c>
    </row>
    <row r="54" spans="2:7">
      <c r="B54" s="51">
        <v>63</v>
      </c>
      <c r="C54" s="52">
        <v>45.79</v>
      </c>
    </row>
    <row r="55" spans="2:7">
      <c r="B55" s="51">
        <v>64</v>
      </c>
      <c r="C55" s="52">
        <v>50.1</v>
      </c>
    </row>
    <row r="56" spans="2:7">
      <c r="B56" s="51">
        <v>65</v>
      </c>
      <c r="C56" s="52">
        <v>54.84</v>
      </c>
    </row>
  </sheetData>
  <pageMargins left="0.75" right="0.75" top="1" bottom="1" header="0.5" footer="0.5"/>
  <pageSetup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D9"/>
  <sheetViews>
    <sheetView workbookViewId="0">
      <selection activeCell="C20" sqref="C20"/>
    </sheetView>
  </sheetViews>
  <sheetFormatPr defaultRowHeight="12.5"/>
  <cols>
    <col min="2" max="5" width="36.26953125" customWidth="1"/>
  </cols>
  <sheetData>
    <row r="1" spans="2:4" ht="13" thickBot="1"/>
    <row r="2" spans="2:4" ht="17.25" customHeight="1" thickBot="1">
      <c r="B2" s="61" t="s">
        <v>38</v>
      </c>
      <c r="C2" s="62" t="s">
        <v>39</v>
      </c>
      <c r="D2" s="62" t="s">
        <v>48</v>
      </c>
    </row>
    <row r="3" spans="2:4" ht="17.25" customHeight="1" thickBot="1">
      <c r="B3" s="63" t="s">
        <v>40</v>
      </c>
      <c r="C3" s="64">
        <v>1</v>
      </c>
      <c r="D3" s="65">
        <v>6.5</v>
      </c>
    </row>
    <row r="4" spans="2:4" ht="25.5" thickBot="1">
      <c r="B4" s="63" t="s">
        <v>41</v>
      </c>
      <c r="C4" s="64">
        <v>1</v>
      </c>
      <c r="D4" s="65">
        <v>2</v>
      </c>
    </row>
    <row r="5" spans="2:4" ht="25.5" thickBot="1">
      <c r="B5" s="63" t="s">
        <v>42</v>
      </c>
      <c r="C5" s="68" t="s">
        <v>43</v>
      </c>
      <c r="D5" s="66">
        <v>2</v>
      </c>
    </row>
    <row r="6" spans="2:4" ht="17.25" customHeight="1" thickBot="1">
      <c r="B6" s="63" t="s">
        <v>44</v>
      </c>
      <c r="C6" s="65" t="s">
        <v>45</v>
      </c>
      <c r="D6" s="67">
        <v>10</v>
      </c>
    </row>
    <row r="7" spans="2:4" ht="17.25" customHeight="1" thickBot="1">
      <c r="B7" s="63" t="s">
        <v>46</v>
      </c>
      <c r="C7" s="65" t="s">
        <v>47</v>
      </c>
      <c r="D7" s="67"/>
    </row>
    <row r="8" spans="2:4" ht="17.25" customHeight="1" thickBot="1">
      <c r="B8" s="63"/>
      <c r="C8" s="64"/>
      <c r="D8" s="67"/>
    </row>
    <row r="9" spans="2:4" ht="17.25" customHeight="1" thickBot="1">
      <c r="B9" s="63"/>
      <c r="C9" s="64"/>
      <c r="D9" s="6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Quote( Stand Alone Benefits) </vt:lpstr>
      <vt:lpstr>Quote  (Accelerated Benefits)</vt:lpstr>
      <vt:lpstr>term rates</vt:lpstr>
      <vt:lpstr>Sheet1</vt:lpstr>
      <vt:lpstr>'Quote  (Accelerated Benefits)'!Print_Area</vt:lpstr>
      <vt:lpstr>'Quote( Stand Alone Benefits)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Jacqueline Karasha</dc:creator>
  <cp:lastModifiedBy>Beryl Barasa (KESL)</cp:lastModifiedBy>
  <cp:lastPrinted>2024-02-09T05:43:51Z</cp:lastPrinted>
  <dcterms:created xsi:type="dcterms:W3CDTF">2014-06-12T06:12:25Z</dcterms:created>
  <dcterms:modified xsi:type="dcterms:W3CDTF">2025-04-08T11:45:19Z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